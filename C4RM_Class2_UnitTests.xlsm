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CarbonX1\Documents\GitHub\vba-hw1\"/>
    </mc:Choice>
  </mc:AlternateContent>
  <xr:revisionPtr revIDLastSave="0" documentId="13_ncr:1_{FCB113D6-B45B-4F90-B817-7AD20E263C62}" xr6:coauthVersionLast="47" xr6:coauthVersionMax="47" xr10:uidLastSave="{00000000-0000-0000-0000-000000000000}"/>
  <bookViews>
    <workbookView xWindow="1905" yWindow="1905" windowWidth="28800" windowHeight="15345" tabRatio="844" firstSheet="7" activeTab="7" xr2:uid="{C1F6CC11-1296-3549-A35C-9D74F73648F5}"/>
  </bookViews>
  <sheets>
    <sheet name="Sheet1" sheetId="32" r:id="rId1"/>
    <sheet name="Today" sheetId="1" r:id="rId2"/>
    <sheet name="Office1_Filter" sheetId="26" r:id="rId3"/>
    <sheet name="Office_Pivot" sheetId="27" r:id="rId4"/>
    <sheet name="Computer" sheetId="31" r:id="rId5"/>
    <sheet name="AWS" sheetId="29" r:id="rId6"/>
    <sheet name="Prework4NextClass" sheetId="28" r:id="rId7"/>
    <sheet name="InClassProjects" sheetId="21" r:id="rId8"/>
    <sheet name="qOffice1_Filter" sheetId="22" r:id="rId9"/>
    <sheet name="qOffice_Pivot" sheetId="23" r:id="rId10"/>
    <sheet name="qFunctions" sheetId="10" r:id="rId11"/>
    <sheet name="qArrays1" sheetId="14" r:id="rId12"/>
    <sheet name="qArrays2" sheetId="24" r:id="rId13"/>
    <sheet name="qDataTypes1" sheetId="15" r:id="rId14"/>
    <sheet name="qDataTypes2" sheetId="30" r:id="rId15"/>
    <sheet name="qNameRanges1" sheetId="25" r:id="rId16"/>
    <sheet name="qConditioning" sheetId="16" r:id="rId17"/>
    <sheet name="BLANK" sheetId="20" r:id="rId18"/>
  </sheets>
  <functionGroups builtInGroupCount="19"/>
  <definedNames>
    <definedName name="_xlnm._FilterDatabase" localSheetId="2" hidden="1">Office1_Filter!$B$2:$E$869</definedName>
    <definedName name="_xlnm._FilterDatabase" localSheetId="8" hidden="1">qOffice1_Filter!$B$2:$E$869</definedName>
    <definedName name="couponRate">#REF!</definedName>
    <definedName name="face">#REF!</definedName>
    <definedName name="xPoint">qNameRanges1!$B$9</definedName>
    <definedName name="xTable">qNameRanges1!$F$9:$O$18</definedName>
    <definedName name="xVector">qNameRanges1!$D$9:$D$18</definedName>
    <definedName name="ytm">#REF!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B4" i="32" a="1"/>
  <c r="B2" i="32" a="1"/>
  <c r="B3" i="32" a="1"/>
  <c r="B4" i="32" l="1"/>
  <c r="B3" i="32"/>
  <c r="B2" i="32"/>
  <c r="P14" i="30"/>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<sst xmlns="http://schemas.openxmlformats.org/spreadsheetml/2006/main" count="180" uniqueCount="112">
  <si>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</si>
  <si>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</si>
  <si>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</si>
  <si>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</si>
  <si>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</si>
  <si>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</si>
  <si>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</si>
  <si>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</si>
  <si>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</si>
  <si>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</si>
  <si>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</si>
  <si>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</si>
  <si>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</si>
  <si>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</si>
  <si>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</si>
  <si>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</si>
  <si>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</si>
  <si>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</si>
  <si>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</si>
  <si>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</si>
  <si>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</si>
  <si>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</si>
  <si>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</si>
  <si>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</si>
  <si>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</si>
  <si>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</si>
  <si>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</si>
  <si>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</si>
  <si>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</si>
  <si>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</si>
  <si>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</si>
  <si>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</si>
  <si>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</si>
  <si>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</si>
  <si>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</si>
  <si>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</si>
  <si>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</si>
  <si>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</si>
  <si>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</si>
  <si>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</si>
  <si>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</si>
  <si>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</si>
  <si>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</si>
  <si>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</si>
  <si>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</si>
  <si>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</si>
  <si>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</si>
  <si>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</si>
  <si>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</si>
  <si>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</si>
  <si>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</si>
  <si>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</si>
  <si>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</si>
  <si>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</si>
  <si>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</si>
  <si>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</si>
  <si>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</si>
  <si>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</si>
  <si>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</si>
  <si>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Please submit your Excel workbook as type .xlsm</t>
  </si>
  <si>
    <t>Name your workbook and the module with your answers with your UNI</t>
  </si>
  <si>
    <t>Today we will work on next steps for the homework problems.</t>
  </si>
  <si>
    <t>Install R and R studio</t>
  </si>
  <si>
    <t>https://cloud.r-project.org/</t>
  </si>
  <si>
    <t>https://rstudio.com/products/rstudio/download/</t>
  </si>
  <si>
    <t>R</t>
  </si>
  <si>
    <t xml:space="preserve">RStudio </t>
  </si>
  <si>
    <t>For this class hand in the entire Excel workbook.</t>
  </si>
  <si>
    <t>Name the module that shows your answers with your UNI.</t>
  </si>
  <si>
    <t>The Excel workbook must be saved as a .xlsm file.</t>
  </si>
  <si>
    <t>Save the Excel file name with your UNI.</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</si>
  <si>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</si>
  <si>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</si>
  <si>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</si>
  <si>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</si>
  <si>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</si>
  <si>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</si>
  <si>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</si>
  <si>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</si>
  <si>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</si>
  <si>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</si>
  <si>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</si>
  <si>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</si>
  <si>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</si>
  <si>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</si>
  <si>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</si>
  <si>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</si>
  <si>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</si>
  <si>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</si>
  <si>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</si>
  <si>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</si>
  <si>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</si>
  <si>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</si>
  <si>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</si>
  <si>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</si>
  <si>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</si>
  <si>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Variants</t>
  </si>
  <si>
    <t>Lists of arrays</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</si>
  <si>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</si>
  <si>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</si>
  <si>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</si>
  <si>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</si>
  <si>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</si>
  <si>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</si>
  <si>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</si>
  <si>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</si>
  <si>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</si>
  <si>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</si>
  <si>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Unit Tests</t>
  </si>
  <si>
    <t>PriceBond</t>
  </si>
  <si>
    <t>FizzBuzz</t>
  </si>
  <si>
    <t>MatrixMult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</si>
</sst>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2"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4">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11" fillId="0" borderId="0" xfId="0" applyFont="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13</xdr:row>
      <xdr:rowOff>254000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388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the you found when you recorded the macro.</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787400</xdr:colOff>
      <xdr:row>12</xdr:row>
      <xdr:rowOff>203200</xdr:rowOff>
    </xdr:from>
    <xdr:to>
      <xdr:col>16</xdr:col>
      <xdr:colOff>304800</xdr:colOff>
      <xdr:row>21</xdr:row>
      <xdr:rowOff>12700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24900" y="41656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698500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3525500" y="228600"/>
          <a:ext cx="42926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Bond(y, face, couponRate, m,</a:t>
          </a:r>
          <a:r>
            <a:rPr lang="en-US" sz="1400" baseline="0"/>
            <a:t> optional ppy =1</a:t>
          </a:r>
          <a:r>
            <a:rPr lang="en-US" sz="1400"/>
            <a:t>)</a:t>
          </a:r>
        </a:p>
        <a:p>
          <a:endParaRPr lang="en-US" sz="1400"/>
        </a:p>
        <a:p>
          <a:r>
            <a:rPr lang="en-US" sz="1400"/>
            <a:t>    &lt;Do stuff&gt;</a:t>
          </a:r>
        </a:p>
        <a:p>
          <a:endParaRPr lang="en-US" sz="1400"/>
        </a:p>
        <a:p>
          <a:r>
            <a:rPr lang="en-US" sz="1400"/>
            <a:t>    Bond = &lt;Return the answer&gt;</a:t>
          </a:r>
        </a:p>
        <a:p>
          <a:endParaRPr lang="en-US" sz="1400"/>
        </a:p>
        <a:p>
          <a:r>
            <a:rPr lang="en-US" sz="1400"/>
            <a:t>End Function</a:t>
          </a:r>
        </a:p>
        <a:p>
          <a:endParaRPr lang="en-US" sz="1400"/>
        </a:p>
        <a:p>
          <a:endParaRPr lang="en-US" sz="1400"/>
        </a:p>
        <a:p>
          <a:r>
            <a:rPr lang="en-US" sz="1400"/>
            <a:t>Sub BondTester()</a:t>
          </a:r>
        </a:p>
        <a:p>
          <a:endParaRPr lang="en-US" sz="1400"/>
        </a:p>
        <a:p>
          <a:r>
            <a:rPr lang="en-US" sz="1400"/>
            <a:t>    y = 0.03</a:t>
          </a:r>
        </a:p>
        <a:p>
          <a:r>
            <a:rPr lang="en-US" sz="1400"/>
            <a:t>    face = 2000000</a:t>
          </a:r>
        </a:p>
        <a:p>
          <a:r>
            <a:rPr lang="en-US" sz="1400"/>
            <a:t>    couponRate = 0.04</a:t>
          </a:r>
        </a:p>
        <a:p>
          <a:r>
            <a:rPr lang="en-US" sz="1400"/>
            <a:t>    m = 10</a:t>
          </a:r>
        </a:p>
        <a:p>
          <a:r>
            <a:rPr lang="en-US" sz="1400"/>
            <a:t>    ppy = 2</a:t>
          </a:r>
        </a:p>
        <a:p>
          <a:r>
            <a:rPr lang="en-US" sz="1400"/>
            <a:t>    MsgBox (Bond(y, face, couponRate, m,</a:t>
          </a:r>
          <a:r>
            <a:rPr lang="en-US" sz="1400" baseline="0"/>
            <a:t> ppy</a:t>
          </a:r>
          <a:r>
            <a:rPr lang="en-US" sz="1400"/>
            <a:t>))</a:t>
          </a:r>
        </a:p>
        <a:p>
          <a:endParaRPr lang="en-US" sz="1400"/>
        </a:p>
        <a:p>
          <a:r>
            <a:rPr lang="en-US" sz="1400"/>
            <a:t>End Sub</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25</xdr:row>
      <xdr:rowOff>38100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533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3, 0) + 1</a:t>
          </a:r>
        </a:p>
        <a:p>
          <a:r>
            <a:rPr lang="en-US" sz="1400"/>
            <a:t>    n = Round(Rnd * 3,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ubound(vec,2)</a:t>
          </a:r>
          <a:r>
            <a:rPr lang="en-US" sz="1100"/>
            <a:t>&gt;</a:t>
          </a:r>
        </a:p>
        <a:p>
          <a:r>
            <a:rPr lang="en-US" sz="1100"/>
            <a:t>    &lt;identify the size of mat using </a:t>
          </a:r>
          <a:r>
            <a:rPr lang="en-US" sz="1100" baseline="0"/>
            <a:t>ubound(mat,1)</a:t>
          </a:r>
          <a:r>
            <a:rPr lang="en-US" sz="1100"/>
            <a:t>&gt;</a:t>
          </a:r>
        </a:p>
        <a:p>
          <a:r>
            <a:rPr lang="en-US" sz="1100"/>
            <a:t>    &lt;calculate</a:t>
          </a:r>
          <a:r>
            <a:rPr lang="en-US" sz="1100" baseline="0"/>
            <a:t> vec * mat&gt;</a:t>
          </a:r>
        </a:p>
        <a:p>
          <a:endParaRPr lang="en-US" sz="1100" baseline="0"/>
        </a:p>
        <a:p>
          <a:r>
            <a:rPr lang="en-US" sz="1100" baseline="0"/>
            <a:t>    &lt;test vec column length and mat row length match with &lt;&gt;</a:t>
          </a:r>
          <a:endParaRPr lang="en-US" sz="1100"/>
        </a:p>
        <a:p>
          <a:endParaRPr lang="en-US" sz="1100"/>
        </a:p>
        <a:p>
          <a:r>
            <a:rPr lang="en-US" sz="1100"/>
            <a:t>    MyMatMult = &lt;Return the answer&gt;</a:t>
          </a:r>
        </a:p>
        <a:p>
          <a:endParaRPr lang="en-US" sz="1100"/>
        </a:p>
        <a:p>
          <a:r>
            <a:rPr lang="en-US" sz="1100"/>
            <a:t>End Function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xdr:row>
      <xdr:rowOff>25400</xdr:rowOff>
    </xdr:from>
    <xdr:to>
      <xdr:col>13</xdr:col>
      <xdr:colOff>139700</xdr:colOff>
      <xdr:row>11</xdr:row>
      <xdr:rowOff>228600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266700"/>
          <a:ext cx="6223000" cy="261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An example is on the right.</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xdr:txBody>
    </xdr:sp>
    <xdr:clientData/>
  </xdr:twoCellAnchor>
  <xdr:twoCellAnchor>
    <xdr:from>
      <xdr:col>14</xdr:col>
      <xdr:colOff>25400</xdr:colOff>
      <xdr:row>1</xdr:row>
      <xdr:rowOff>25400</xdr:rowOff>
    </xdr:from>
    <xdr:to>
      <xdr:col>25</xdr:col>
      <xdr:colOff>419100</xdr:colOff>
      <xdr:row>12</xdr:row>
      <xdr:rowOff>12700</xdr:rowOff>
    </xdr:to>
    <xdr:sp macro="" textlink="">
      <xdr:nvSpPr>
        <xdr:cNvPr id="4" name="TextBox 3">
          <a:extLst>
            <a:ext uri="{FF2B5EF4-FFF2-40B4-BE49-F238E27FC236}">
              <a16:creationId xmlns:a16="http://schemas.microsoft.com/office/drawing/2014/main" id="{339D2477-DFA7-EF43-831A-216B8761F98B}"/>
            </a:ext>
          </a:extLst>
        </xdr:cNvPr>
        <xdr:cNvSpPr txBox="1"/>
      </xdr:nvSpPr>
      <xdr:spPr>
        <a:xfrm>
          <a:off x="7391400" y="266700"/>
          <a:ext cx="5981700" cy="264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'symbols: FB AAPL NTFX GOOG</a:t>
          </a:r>
        </a:p>
        <a:p>
          <a:r>
            <a:rPr lang="en-US" sz="1100"/>
            <a:t>'features: price, volume</a:t>
          </a:r>
        </a:p>
        <a:p>
          <a:r>
            <a:rPr lang="en-US" sz="1100"/>
            <a:t>'dates: today and previous 10 days</a:t>
          </a:r>
        </a:p>
        <a:p>
          <a:endParaRPr lang="en-US" sz="1100"/>
        </a:p>
        <a:p>
          <a:r>
            <a:rPr lang="en-US" sz="1100"/>
            <a:t>Sub MyObj_LoopNames()</a:t>
          </a:r>
        </a:p>
        <a:p>
          <a:r>
            <a:rPr lang="en-US" sz="1100"/>
            <a:t>Dim i_symbol As Integer</a:t>
          </a:r>
        </a:p>
        <a:p>
          <a:r>
            <a:rPr lang="en-US" sz="1100"/>
            <a:t>Dim i_features  As Integer</a:t>
          </a:r>
        </a:p>
        <a:p>
          <a:r>
            <a:rPr lang="en-US" sz="1100"/>
            <a:t>Dim i_date As Integer</a:t>
          </a:r>
        </a:p>
        <a:p>
          <a:endParaRPr lang="en-US" sz="1100"/>
        </a:p>
        <a:p>
          <a:r>
            <a:rPr lang="en-US" sz="1100"/>
            <a:t>Dim x(4, 2, 11) As Double</a:t>
          </a:r>
        </a:p>
        <a:p>
          <a:endParaRPr lang="en-US" sz="1100"/>
        </a:p>
        <a:p>
          <a:r>
            <a:rPr lang="en-US" sz="1100"/>
            <a:t>x(2, 2, 2) = 2.22</a:t>
          </a:r>
        </a:p>
        <a:p>
          <a:endParaRPr lang="en-US" sz="1100"/>
        </a:p>
        <a:p>
          <a:r>
            <a:rPr lang="en-US" sz="1100"/>
            <a:t>End Sub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50800</xdr:colOff>
      <xdr:row>4</xdr:row>
      <xdr:rowOff>76200</xdr:rowOff>
    </xdr:from>
    <xdr:to>
      <xdr:col>4</xdr:col>
      <xdr:colOff>419100</xdr:colOff>
      <xdr:row>6</xdr:row>
      <xdr:rowOff>215900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76300" y="13970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Dim x As Variant</a:t>
          </a:r>
        </a:p>
        <a:p>
          <a:r>
            <a:rPr lang="en-US" sz="1100"/>
            <a:t>x = Range("x").Value</a:t>
          </a:r>
        </a:p>
      </xdr:txBody>
    </xdr:sp>
    <xdr:clientData/>
  </xdr:twoCellAnchor>
  <xdr:twoCellAnchor>
    <xdr:from>
      <xdr:col>1</xdr:col>
      <xdr:colOff>12700</xdr:colOff>
      <xdr:row>20</xdr:row>
      <xdr:rowOff>12700</xdr:rowOff>
    </xdr:from>
    <xdr:to>
      <xdr:col>6</xdr:col>
      <xdr:colOff>63500</xdr:colOff>
      <xdr:row>28</xdr:row>
      <xdr:rowOff>266700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616700"/>
          <a:ext cx="4178300" cy="289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any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charvec(1 To n)</a:t>
          </a:r>
        </a:p>
        <a:p>
          <a:endParaRPr lang="en-US" sz="1400"/>
        </a:p>
        <a:p>
          <a:r>
            <a:rPr lang="en-US" sz="1400"/>
            <a:t>    FizzBuzz = charvec</a:t>
          </a:r>
        </a:p>
        <a:p>
          <a:endParaRPr lang="en-US" sz="1400"/>
        </a:p>
        <a:p>
          <a:r>
            <a:rPr lang="en-US" sz="1400"/>
            <a:t>End Function</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1.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A0C45-E794-41AC-A05E-EDB92C4DEA59}">
  <sheetPr codeName="Sheet16"/>
  <dimension ref="A1:B4"/>
  <sheetViews>
    <sheetView topLeftCell="C1" workbookViewId="0">
      <selection activeCell="I10" sqref="I10"/>
    </sheetView>
  </sheetViews>
  <sheetFormatPr defaultRowHeight="15.75" x14ac:dyDescent="0.25"/>
  <cols>
    <col min="1" max="1" width="9.875" bestFit="1" customWidth="1"/>
  </cols>
  <sheetData>
    <row r="1" spans="1:2" x14ac:dyDescent="0.25">
      <c r="A1" s="23" t="s">
        <v>108</v>
      </c>
    </row>
    <row r="2" spans="1:2" x14ac:dyDescent="0.25">
      <c r="A2" t="s">
        <v>109</v>
      </c>
      <c r="B2" t="e" cm="1">
        <f t="array" ref="B2">test_PriceBond()</f>
        <v>#VALUE!</v>
      </c>
    </row>
    <row r="3" spans="1:2" x14ac:dyDescent="0.25">
      <c r="A3" t="s">
        <v>111</v>
      </c>
      <c r="B3" t="e" cm="1">
        <f t="array" ref="B3">test_MyMatMult()</f>
        <v>#VALUE!</v>
      </c>
    </row>
    <row r="4" spans="1:2" x14ac:dyDescent="0.25">
      <c r="A4" t="s">
        <v>110</v>
      </c>
      <c r="B4" t="e" cm="1">
        <f t="array" ref="B4">test_FizzBuzz()</f>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9"/>
  <sheetViews>
    <sheetView topLeftCell="W1" workbookViewId="0"/>
  </sheetViews>
  <sheetFormatPr defaultColWidth="10.875" defaultRowHeight="26.25" x14ac:dyDescent="0.4"/>
  <cols>
    <col min="1" max="16384" width="10.875" style="1"/>
  </cols>
  <sheetData>
    <row r="2" spans="2:3" x14ac:dyDescent="0.4">
      <c r="B2" s="1" t="s">
        <v>61</v>
      </c>
    </row>
    <row r="4" spans="2:3" x14ac:dyDescent="0.4">
      <c r="B4" s="1" t="s">
        <v>55</v>
      </c>
    </row>
    <row r="5" spans="2:3" x14ac:dyDescent="0.4">
      <c r="C5" s="1" t="s">
        <v>56</v>
      </c>
    </row>
    <row r="6" spans="2:3" x14ac:dyDescent="0.4">
      <c r="C6" s="1" t="s">
        <v>57</v>
      </c>
    </row>
    <row r="8" spans="2:3" x14ac:dyDescent="0.4">
      <c r="B8" s="1" t="s">
        <v>91</v>
      </c>
    </row>
    <row r="9" spans="2:3" x14ac:dyDescent="0.4">
      <c r="C9" s="1" t="s">
        <v>92</v>
      </c>
    </row>
    <row r="10" spans="2:3" x14ac:dyDescent="0.4">
      <c r="C10" s="1" t="s">
        <v>93</v>
      </c>
    </row>
    <row r="11" spans="2:3" x14ac:dyDescent="0.4">
      <c r="C11" s="1" t="s">
        <v>94</v>
      </c>
    </row>
    <row r="12" spans="2:3" x14ac:dyDescent="0.4">
      <c r="C12" s="1" t="s">
        <v>95</v>
      </c>
    </row>
    <row r="13" spans="2:3" x14ac:dyDescent="0.4">
      <c r="C13" s="1" t="s">
        <v>96</v>
      </c>
    </row>
    <row r="14" spans="2:3" x14ac:dyDescent="0.4">
      <c r="C14" s="1" t="s">
        <v>97</v>
      </c>
    </row>
    <row r="17" spans="2:3" x14ac:dyDescent="0.4">
      <c r="B17" s="1" t="s">
        <v>58</v>
      </c>
    </row>
    <row r="18" spans="2:3" x14ac:dyDescent="0.4">
      <c r="C18" s="1" t="s">
        <v>59</v>
      </c>
    </row>
    <row r="19" spans="2:3" x14ac:dyDescent="0.4">
      <c r="C19" s="1" t="s">
        <v>60</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46</v>
      </c>
    </row>
    <row r="4" spans="2:8" x14ac:dyDescent="0.4">
      <c r="B4" s="11">
        <v>43951</v>
      </c>
      <c r="C4" s="10">
        <v>14.7</v>
      </c>
      <c r="D4" s="10">
        <v>0.33</v>
      </c>
      <c r="E4" s="10">
        <v>15.03</v>
      </c>
      <c r="H4" s="1" t="s">
        <v>48</v>
      </c>
    </row>
    <row r="5" spans="2:8" x14ac:dyDescent="0.4">
      <c r="B5" s="11">
        <v>43921</v>
      </c>
      <c r="C5" s="10">
        <v>4.4000000000000004</v>
      </c>
      <c r="D5" s="10">
        <v>1.54</v>
      </c>
      <c r="E5" s="10">
        <v>5.94</v>
      </c>
      <c r="H5" s="1" t="s">
        <v>47</v>
      </c>
    </row>
    <row r="6" spans="2:8" x14ac:dyDescent="0.4">
      <c r="B6" s="11">
        <v>43890</v>
      </c>
      <c r="C6" s="10">
        <v>3.5</v>
      </c>
      <c r="D6" s="10">
        <v>2.33</v>
      </c>
      <c r="E6" s="10">
        <v>5.83</v>
      </c>
      <c r="H6" s="1" t="s">
        <v>49</v>
      </c>
    </row>
    <row r="7" spans="2:8" x14ac:dyDescent="0.4">
      <c r="B7" s="11">
        <v>43861</v>
      </c>
      <c r="C7" s="10">
        <v>3.6</v>
      </c>
      <c r="D7" s="10">
        <v>2.4900000000000002</v>
      </c>
      <c r="E7" s="10">
        <v>6.09</v>
      </c>
    </row>
    <row r="8" spans="2:8" x14ac:dyDescent="0.4">
      <c r="B8" s="11">
        <v>43830</v>
      </c>
      <c r="C8" s="10">
        <v>3.5</v>
      </c>
      <c r="D8" s="10">
        <v>2.29</v>
      </c>
      <c r="E8" s="10">
        <v>5.79</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50</v>
      </c>
    </row>
    <row r="4" spans="2:8" x14ac:dyDescent="0.4">
      <c r="B4" s="11">
        <v>43951</v>
      </c>
      <c r="C4" s="10">
        <v>14.7</v>
      </c>
      <c r="D4" s="10">
        <v>0.33</v>
      </c>
      <c r="E4" s="10">
        <v>15.03</v>
      </c>
      <c r="H4" s="1" t="s">
        <v>48</v>
      </c>
    </row>
    <row r="5" spans="2:8" x14ac:dyDescent="0.4">
      <c r="B5" s="11">
        <v>43921</v>
      </c>
      <c r="C5" s="10">
        <v>4.4000000000000004</v>
      </c>
      <c r="D5" s="10">
        <v>1.54</v>
      </c>
      <c r="E5" s="10">
        <v>5.94</v>
      </c>
      <c r="H5" s="1" t="s">
        <v>51</v>
      </c>
    </row>
    <row r="6" spans="2:8" x14ac:dyDescent="0.4">
      <c r="B6" s="11">
        <v>43890</v>
      </c>
      <c r="C6" s="10">
        <v>3.5</v>
      </c>
      <c r="D6" s="10">
        <v>2.33</v>
      </c>
      <c r="E6" s="10">
        <v>5.83</v>
      </c>
      <c r="H6" s="1" t="s">
        <v>53</v>
      </c>
    </row>
    <row r="7" spans="2:8" x14ac:dyDescent="0.4">
      <c r="B7" s="11">
        <v>43861</v>
      </c>
      <c r="C7" s="10">
        <v>3.6</v>
      </c>
      <c r="D7" s="10">
        <v>2.4900000000000002</v>
      </c>
      <c r="E7" s="10">
        <v>6.09</v>
      </c>
      <c r="H7" s="1" t="s">
        <v>52</v>
      </c>
    </row>
    <row r="8" spans="2:8" x14ac:dyDescent="0.4">
      <c r="B8" s="11">
        <v>43830</v>
      </c>
      <c r="C8" s="10">
        <v>3.5</v>
      </c>
      <c r="D8" s="10">
        <v>2.29</v>
      </c>
      <c r="E8" s="10">
        <v>5.79</v>
      </c>
      <c r="H8" s="1" t="s">
        <v>54</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defaultColWidth="1" defaultRowHeight="6.95" customHeight="1" x14ac:dyDescent="0.4"/>
  <cols>
    <col min="1" max="16384" width="1" style="1"/>
  </cols>
  <sheetData>
    <row r="15" spans="3:1356" ht="6.95" customHeight="1" x14ac:dyDescent="0.4">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defaultColWidth="10.875" defaultRowHeight="26.25" x14ac:dyDescent="0.4"/>
  <cols>
    <col min="1" max="16384" width="10.875" style="1"/>
  </cols>
  <sheetData>
    <row r="2" spans="2:4" x14ac:dyDescent="0.4">
      <c r="B2" s="1" t="s">
        <v>71</v>
      </c>
    </row>
    <row r="3" spans="2:4" x14ac:dyDescent="0.4">
      <c r="C3" s="18" t="s">
        <v>72</v>
      </c>
    </row>
    <row r="4" spans="2:4" x14ac:dyDescent="0.4">
      <c r="C4" s="1" t="s">
        <v>73</v>
      </c>
    </row>
    <row r="6" spans="2:4" x14ac:dyDescent="0.4">
      <c r="B6" s="19" t="s">
        <v>74</v>
      </c>
    </row>
    <row r="7" spans="2:4" x14ac:dyDescent="0.4">
      <c r="B7" s="1" t="s">
        <v>75</v>
      </c>
    </row>
    <row r="8" spans="2:4" x14ac:dyDescent="0.4">
      <c r="C8" s="18" t="s">
        <v>76</v>
      </c>
    </row>
    <row r="9" spans="2:4" x14ac:dyDescent="0.4">
      <c r="B9" s="18" t="s">
        <v>77</v>
      </c>
    </row>
    <row r="10" spans="2:4" x14ac:dyDescent="0.4">
      <c r="C10" s="1" t="s">
        <v>78</v>
      </c>
    </row>
    <row r="11" spans="2:4" x14ac:dyDescent="0.4">
      <c r="C11" s="1" t="s">
        <v>79</v>
      </c>
    </row>
    <row r="12" spans="2:4" x14ac:dyDescent="0.4">
      <c r="B12" s="1" t="s">
        <v>77</v>
      </c>
      <c r="C12" s="1" t="s">
        <v>80</v>
      </c>
    </row>
    <row r="13" spans="2:4" x14ac:dyDescent="0.4">
      <c r="B13" s="1" t="s">
        <v>81</v>
      </c>
    </row>
    <row r="14" spans="2:4" x14ac:dyDescent="0.4">
      <c r="C14" s="18" t="s">
        <v>82</v>
      </c>
    </row>
    <row r="15" spans="2:4" x14ac:dyDescent="0.4">
      <c r="D15" s="1" t="s">
        <v>83</v>
      </c>
    </row>
    <row r="16" spans="2:4" x14ac:dyDescent="0.4">
      <c r="D16" s="1" t="s">
        <v>84</v>
      </c>
    </row>
    <row r="21" spans="2:3" x14ac:dyDescent="0.4">
      <c r="C21" s="1" t="s">
        <v>85</v>
      </c>
    </row>
    <row r="22" spans="2:3" x14ac:dyDescent="0.4">
      <c r="B22" s="18" t="s">
        <v>86</v>
      </c>
    </row>
    <row r="23" spans="2:3" x14ac:dyDescent="0.4">
      <c r="C23" s="1" t="s">
        <v>87</v>
      </c>
    </row>
    <row r="24" spans="2:3" x14ac:dyDescent="0.4">
      <c r="B24" s="18" t="s">
        <v>88</v>
      </c>
    </row>
    <row r="25" spans="2:3" x14ac:dyDescent="0.4">
      <c r="C25" s="1" t="s">
        <v>89</v>
      </c>
    </row>
    <row r="26" spans="2:3" x14ac:dyDescent="0.4">
      <c r="C26" s="1" t="s">
        <v>90</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defaultColWidth="10.875" defaultRowHeight="26.25" x14ac:dyDescent="0.4"/>
  <cols>
    <col min="1" max="16384" width="10.875" style="1"/>
  </cols>
  <sheetData>
    <row r="2" spans="2:3" x14ac:dyDescent="0.4">
      <c r="B2" s="1" t="s">
        <v>62</v>
      </c>
    </row>
    <row r="4" spans="2:3" x14ac:dyDescent="0.4">
      <c r="B4" s="1" t="s">
        <v>65</v>
      </c>
    </row>
    <row r="5" spans="2:3" x14ac:dyDescent="0.4">
      <c r="B5" s="8" t="s">
        <v>63</v>
      </c>
    </row>
    <row r="6" spans="2:3" x14ac:dyDescent="0.4">
      <c r="B6" s="8"/>
    </row>
    <row r="7" spans="2:3" x14ac:dyDescent="0.4">
      <c r="B7" s="1" t="s">
        <v>66</v>
      </c>
    </row>
    <row r="8" spans="2:3" x14ac:dyDescent="0.4">
      <c r="B8" s="8" t="s">
        <v>64</v>
      </c>
    </row>
    <row r="10" spans="2:3" x14ac:dyDescent="0.4">
      <c r="B10" s="1" t="s">
        <v>102</v>
      </c>
    </row>
    <row r="11" spans="2:3" x14ac:dyDescent="0.4">
      <c r="C11" s="1" t="s">
        <v>103</v>
      </c>
    </row>
    <row r="12" spans="2:3" x14ac:dyDescent="0.4">
      <c r="C12" s="21" t="s">
        <v>104</v>
      </c>
    </row>
    <row r="13" spans="2:3" x14ac:dyDescent="0.4">
      <c r="C13" s="22" t="s">
        <v>105</v>
      </c>
    </row>
    <row r="14" spans="2:3" x14ac:dyDescent="0.4">
      <c r="C14" s="1" t="s">
        <v>106</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B6"/>
  <sheetViews>
    <sheetView tabSelected="1" workbookViewId="0">
      <selection activeCell="G8" sqref="G8"/>
    </sheetView>
  </sheetViews>
  <sheetFormatPr defaultColWidth="10.875" defaultRowHeight="26.25" x14ac:dyDescent="0.4"/>
  <cols>
    <col min="1" max="16384" width="10.875" style="1"/>
  </cols>
  <sheetData>
    <row r="2" spans="1:2" x14ac:dyDescent="0.4">
      <c r="B2" s="1" t="s">
        <v>67</v>
      </c>
    </row>
    <row r="3" spans="1:2" x14ac:dyDescent="0.4">
      <c r="B3" s="1" t="s">
        <v>68</v>
      </c>
    </row>
    <row r="4" spans="1:2" x14ac:dyDescent="0.4">
      <c r="B4" s="1" t="s">
        <v>69</v>
      </c>
    </row>
    <row r="5" spans="1:2" x14ac:dyDescent="0.4">
      <c r="B5" s="1" t="s">
        <v>70</v>
      </c>
    </row>
    <row r="6" spans="1:2" x14ac:dyDescent="0.4">
      <c r="A6"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filterMode="1">
    <tabColor rgb="FFFFFF00"/>
  </sheetPr>
  <dimension ref="B2:E869"/>
  <sheetViews>
    <sheetView topLeftCell="D1" workbookViewId="0">
      <selection activeCell="B2" sqref="B2:E869"/>
    </sheetView>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hidden="1" x14ac:dyDescent="0.4">
      <c r="B3" s="11">
        <v>43982</v>
      </c>
      <c r="C3" s="10">
        <v>13.3</v>
      </c>
      <c r="D3" s="10">
        <v>0.12</v>
      </c>
      <c r="E3" s="10">
        <v>13.42</v>
      </c>
    </row>
    <row r="4" spans="2:5" hidden="1" x14ac:dyDescent="0.4">
      <c r="B4" s="11">
        <v>43951</v>
      </c>
      <c r="C4" s="10">
        <v>14.7</v>
      </c>
      <c r="D4" s="10">
        <v>0.33</v>
      </c>
      <c r="E4" s="10">
        <v>15.03</v>
      </c>
    </row>
    <row r="5" spans="2:5" hidden="1" x14ac:dyDescent="0.4">
      <c r="B5" s="11">
        <v>43921</v>
      </c>
      <c r="C5" s="10">
        <v>4.4000000000000004</v>
      </c>
      <c r="D5" s="10">
        <v>1.54</v>
      </c>
      <c r="E5" s="10">
        <v>5.94</v>
      </c>
    </row>
    <row r="6" spans="2:5" hidden="1" x14ac:dyDescent="0.4">
      <c r="B6" s="11">
        <v>43890</v>
      </c>
      <c r="C6" s="10">
        <v>3.5</v>
      </c>
      <c r="D6" s="10">
        <v>2.33</v>
      </c>
      <c r="E6" s="10">
        <v>5.83</v>
      </c>
    </row>
    <row r="7" spans="2:5" hidden="1" x14ac:dyDescent="0.4">
      <c r="B7" s="11">
        <v>43861</v>
      </c>
      <c r="C7" s="10">
        <v>3.6</v>
      </c>
      <c r="D7" s="10">
        <v>2.4900000000000002</v>
      </c>
      <c r="E7" s="10">
        <v>6.09</v>
      </c>
    </row>
    <row r="8" spans="2:5" hidden="1" x14ac:dyDescent="0.4">
      <c r="B8" s="11">
        <v>43830</v>
      </c>
      <c r="C8" s="10">
        <v>3.5</v>
      </c>
      <c r="D8" s="10">
        <v>2.29</v>
      </c>
      <c r="E8" s="10">
        <v>5.79</v>
      </c>
    </row>
    <row r="9" spans="2:5" hidden="1" x14ac:dyDescent="0.4">
      <c r="B9" s="11">
        <v>43799</v>
      </c>
      <c r="C9" s="10">
        <v>3.5</v>
      </c>
      <c r="D9" s="10">
        <v>2.0499999999999998</v>
      </c>
      <c r="E9" s="10">
        <v>5.55</v>
      </c>
    </row>
    <row r="10" spans="2:5" hidden="1" x14ac:dyDescent="0.4">
      <c r="B10" s="11">
        <v>43769</v>
      </c>
      <c r="C10" s="10">
        <v>3.6</v>
      </c>
      <c r="D10" s="10">
        <v>1.76</v>
      </c>
      <c r="E10" s="10">
        <v>5.36</v>
      </c>
    </row>
    <row r="11" spans="2:5" hidden="1" x14ac:dyDescent="0.4">
      <c r="B11" s="11">
        <v>43738</v>
      </c>
      <c r="C11" s="10">
        <v>3.5</v>
      </c>
      <c r="D11" s="10">
        <v>1.71</v>
      </c>
      <c r="E11" s="10">
        <v>5.21</v>
      </c>
    </row>
    <row r="12" spans="2:5" hidden="1" x14ac:dyDescent="0.4">
      <c r="B12" s="11">
        <v>43708</v>
      </c>
      <c r="C12" s="10">
        <v>3.7</v>
      </c>
      <c r="D12" s="10">
        <v>1.75</v>
      </c>
      <c r="E12" s="10">
        <v>5.45</v>
      </c>
    </row>
    <row r="13" spans="2:5" hidden="1" x14ac:dyDescent="0.4">
      <c r="B13" s="11">
        <v>43616</v>
      </c>
      <c r="C13" s="10">
        <v>3.6</v>
      </c>
      <c r="D13" s="10">
        <v>1.79</v>
      </c>
      <c r="E13" s="10">
        <v>5.39</v>
      </c>
    </row>
    <row r="14" spans="2:5" hidden="1" x14ac:dyDescent="0.4">
      <c r="B14" s="11">
        <v>43585</v>
      </c>
      <c r="C14" s="10">
        <v>3.6</v>
      </c>
      <c r="D14" s="10">
        <v>2</v>
      </c>
      <c r="E14" s="10">
        <v>5.6</v>
      </c>
    </row>
    <row r="15" spans="2:5" hidden="1" x14ac:dyDescent="0.4">
      <c r="B15" s="11">
        <v>43555</v>
      </c>
      <c r="C15" s="10">
        <v>3.8</v>
      </c>
      <c r="D15" s="10">
        <v>1.86</v>
      </c>
      <c r="E15" s="10">
        <v>5.66</v>
      </c>
    </row>
    <row r="16" spans="2:5" hidden="1" x14ac:dyDescent="0.4">
      <c r="B16" s="11">
        <v>43524</v>
      </c>
      <c r="C16" s="10">
        <v>3.8</v>
      </c>
      <c r="D16" s="10">
        <v>1.52</v>
      </c>
      <c r="E16" s="10">
        <v>5.32</v>
      </c>
    </row>
    <row r="17" spans="2:5" hidden="1" x14ac:dyDescent="0.4">
      <c r="B17" s="11">
        <v>43496</v>
      </c>
      <c r="C17" s="10">
        <v>4</v>
      </c>
      <c r="D17" s="10">
        <v>1.55</v>
      </c>
      <c r="E17" s="10">
        <v>5.55</v>
      </c>
    </row>
    <row r="18" spans="2:5" hidden="1" x14ac:dyDescent="0.4">
      <c r="B18" s="11">
        <v>43465</v>
      </c>
      <c r="C18" s="10">
        <v>3.9</v>
      </c>
      <c r="D18" s="10">
        <v>1.91</v>
      </c>
      <c r="E18" s="10">
        <v>5.81</v>
      </c>
    </row>
    <row r="19" spans="2:5" hidden="1" x14ac:dyDescent="0.4">
      <c r="B19" s="11">
        <v>43434</v>
      </c>
      <c r="C19" s="10">
        <v>3.7</v>
      </c>
      <c r="D19" s="10">
        <v>2.1800000000000002</v>
      </c>
      <c r="E19" s="10">
        <v>5.88</v>
      </c>
    </row>
    <row r="20" spans="2:5" hidden="1" x14ac:dyDescent="0.4">
      <c r="B20" s="11">
        <v>43404</v>
      </c>
      <c r="C20" s="10">
        <v>3.7</v>
      </c>
      <c r="D20" s="10">
        <v>2.52</v>
      </c>
      <c r="E20" s="10">
        <v>6.22</v>
      </c>
    </row>
    <row r="21" spans="2:5" hidden="1" x14ac:dyDescent="0.4">
      <c r="B21" s="11">
        <v>43373</v>
      </c>
      <c r="C21" s="10">
        <v>3.7</v>
      </c>
      <c r="D21" s="10">
        <v>2.2799999999999998</v>
      </c>
      <c r="E21" s="10">
        <v>5.98</v>
      </c>
    </row>
    <row r="22" spans="2:5" hidden="1" x14ac:dyDescent="0.4">
      <c r="B22" s="11">
        <v>43343</v>
      </c>
      <c r="C22" s="10">
        <v>3.9</v>
      </c>
      <c r="D22" s="10">
        <v>2.7</v>
      </c>
      <c r="E22" s="10">
        <v>6.6</v>
      </c>
    </row>
    <row r="23" spans="2:5" hidden="1" x14ac:dyDescent="0.4">
      <c r="B23" s="11">
        <v>43312</v>
      </c>
      <c r="C23" s="10">
        <v>3.9</v>
      </c>
      <c r="D23" s="10">
        <v>2.95</v>
      </c>
      <c r="E23" s="10">
        <v>6.85</v>
      </c>
    </row>
    <row r="24" spans="2:5" hidden="1" x14ac:dyDescent="0.4">
      <c r="B24" s="11">
        <v>43281</v>
      </c>
      <c r="C24" s="10">
        <v>4</v>
      </c>
      <c r="D24" s="10">
        <v>2.87</v>
      </c>
      <c r="E24" s="10">
        <v>6.87</v>
      </c>
    </row>
    <row r="25" spans="2:5" hidden="1" x14ac:dyDescent="0.4">
      <c r="B25" s="11">
        <v>43251</v>
      </c>
      <c r="C25" s="10">
        <v>3.8</v>
      </c>
      <c r="D25" s="10">
        <v>2.8</v>
      </c>
      <c r="E25" s="10">
        <v>6.6</v>
      </c>
    </row>
    <row r="26" spans="2:5" hidden="1" x14ac:dyDescent="0.4">
      <c r="B26" s="11">
        <v>43220</v>
      </c>
      <c r="C26" s="10">
        <v>3.9</v>
      </c>
      <c r="D26" s="10">
        <v>2.46</v>
      </c>
      <c r="E26" s="10">
        <v>6.36</v>
      </c>
    </row>
    <row r="27" spans="2:5" hidden="1"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autoFilter ref="B2:E869" xr:uid="{7306A925-94EE-5142-A63E-041CC591122C}">
    <filterColumn colId="0">
      <customFilters>
        <customFilter operator="lessThan" val="43190"/>
      </customFilters>
    </filterColumn>
  </autoFilter>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x14ac:dyDescent="0.4">
      <c r="B3" s="11">
        <v>43982</v>
      </c>
      <c r="C3" s="10">
        <v>13.3</v>
      </c>
      <c r="D3" s="10">
        <v>0.12</v>
      </c>
      <c r="E3" s="10">
        <v>13.42</v>
      </c>
    </row>
    <row r="4" spans="2:5" x14ac:dyDescent="0.4">
      <c r="B4" s="11">
        <v>43951</v>
      </c>
      <c r="C4" s="10">
        <v>14.7</v>
      </c>
      <c r="D4" s="10">
        <v>0.33</v>
      </c>
      <c r="E4" s="10">
        <v>15.03</v>
      </c>
    </row>
    <row r="5" spans="2:5" x14ac:dyDescent="0.4">
      <c r="B5" s="11">
        <v>43921</v>
      </c>
      <c r="C5" s="10">
        <v>4.4000000000000004</v>
      </c>
      <c r="D5" s="10">
        <v>1.54</v>
      </c>
      <c r="E5" s="10">
        <v>5.94</v>
      </c>
    </row>
    <row r="6" spans="2:5" x14ac:dyDescent="0.4">
      <c r="B6" s="11">
        <v>43890</v>
      </c>
      <c r="C6" s="10">
        <v>3.5</v>
      </c>
      <c r="D6" s="10">
        <v>2.33</v>
      </c>
      <c r="E6" s="10">
        <v>5.83</v>
      </c>
    </row>
    <row r="7" spans="2:5" x14ac:dyDescent="0.4">
      <c r="B7" s="11">
        <v>43861</v>
      </c>
      <c r="C7" s="10">
        <v>3.6</v>
      </c>
      <c r="D7" s="10">
        <v>2.4900000000000002</v>
      </c>
      <c r="E7" s="10">
        <v>6.09</v>
      </c>
    </row>
    <row r="8" spans="2:5" x14ac:dyDescent="0.4">
      <c r="B8" s="11">
        <v>43830</v>
      </c>
      <c r="C8" s="10">
        <v>3.5</v>
      </c>
      <c r="D8" s="10">
        <v>2.29</v>
      </c>
      <c r="E8" s="10">
        <v>5.79</v>
      </c>
    </row>
    <row r="9" spans="2:5" x14ac:dyDescent="0.4">
      <c r="B9" s="11">
        <v>43799</v>
      </c>
      <c r="C9" s="10">
        <v>3.5</v>
      </c>
      <c r="D9" s="10">
        <v>2.0499999999999998</v>
      </c>
      <c r="E9" s="10">
        <v>5.55</v>
      </c>
    </row>
    <row r="10" spans="2:5" x14ac:dyDescent="0.4">
      <c r="B10" s="11">
        <v>43769</v>
      </c>
      <c r="C10" s="10">
        <v>3.6</v>
      </c>
      <c r="D10" s="10">
        <v>1.76</v>
      </c>
      <c r="E10" s="10">
        <v>5.36</v>
      </c>
    </row>
    <row r="11" spans="2:5" x14ac:dyDescent="0.4">
      <c r="B11" s="11">
        <v>43738</v>
      </c>
      <c r="C11" s="10">
        <v>3.5</v>
      </c>
      <c r="D11" s="10">
        <v>1.71</v>
      </c>
      <c r="E11" s="10">
        <v>5.21</v>
      </c>
    </row>
    <row r="12" spans="2:5" x14ac:dyDescent="0.4">
      <c r="B12" s="11">
        <v>43708</v>
      </c>
      <c r="C12" s="10">
        <v>3.7</v>
      </c>
      <c r="D12" s="10">
        <v>1.75</v>
      </c>
      <c r="E12" s="10">
        <v>5.45</v>
      </c>
    </row>
    <row r="13" spans="2:5" x14ac:dyDescent="0.4">
      <c r="B13" s="11">
        <v>43616</v>
      </c>
      <c r="C13" s="10">
        <v>3.6</v>
      </c>
      <c r="D13" s="10">
        <v>1.79</v>
      </c>
      <c r="E13" s="10">
        <v>5.39</v>
      </c>
    </row>
    <row r="14" spans="2:5" x14ac:dyDescent="0.4">
      <c r="B14" s="11">
        <v>43585</v>
      </c>
      <c r="C14" s="10">
        <v>3.6</v>
      </c>
      <c r="D14" s="10">
        <v>2</v>
      </c>
      <c r="E14" s="10">
        <v>5.6</v>
      </c>
    </row>
    <row r="15" spans="2:5" x14ac:dyDescent="0.4">
      <c r="B15" s="11">
        <v>43555</v>
      </c>
      <c r="C15" s="10">
        <v>3.8</v>
      </c>
      <c r="D15" s="10">
        <v>1.86</v>
      </c>
      <c r="E15" s="10">
        <v>5.66</v>
      </c>
    </row>
    <row r="16" spans="2:5"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B2:J22"/>
  <sheetViews>
    <sheetView workbookViewId="0">
      <selection activeCell="E23" sqref="E23"/>
    </sheetView>
  </sheetViews>
  <sheetFormatPr defaultColWidth="10.875" defaultRowHeight="26.25" x14ac:dyDescent="0.4"/>
  <cols>
    <col min="1" max="1" width="10.875" style="1"/>
    <col min="2" max="2" width="27.875" style="1" customWidth="1"/>
    <col min="3" max="3" width="18.625" style="1" bestFit="1" customWidth="1"/>
    <col min="4" max="6" width="10.875" style="1"/>
    <col min="7" max="7" width="23" style="1" bestFit="1" customWidth="1"/>
    <col min="8" max="9" width="10.875" style="1"/>
    <col min="10" max="10" width="23" style="1" bestFit="1" customWidth="1"/>
    <col min="11" max="16384" width="10.875" style="1"/>
  </cols>
  <sheetData>
    <row r="2" spans="2:10" x14ac:dyDescent="0.4">
      <c r="B2" s="1" t="s">
        <v>3</v>
      </c>
      <c r="C2" s="2">
        <v>2000000</v>
      </c>
      <c r="F2" s="1">
        <v>1</v>
      </c>
      <c r="G2" s="1">
        <f>(1+$C$3)^-F2</f>
        <v>0.970873786407767</v>
      </c>
      <c r="I2" s="1">
        <v>1</v>
      </c>
      <c r="J2" s="1">
        <f>(1+$C$3/2)^-I2</f>
        <v>0.98522167487684742</v>
      </c>
    </row>
    <row r="3" spans="2:10" x14ac:dyDescent="0.4">
      <c r="B3" s="1" t="s">
        <v>0</v>
      </c>
      <c r="C3" s="3">
        <v>0.03</v>
      </c>
      <c r="F3" s="1">
        <v>2</v>
      </c>
      <c r="G3" s="1">
        <f t="shared" ref="G3:G11" si="0">(1+$C$3)^-F3</f>
        <v>0.94259590913375435</v>
      </c>
      <c r="I3" s="1">
        <v>2</v>
      </c>
      <c r="J3" s="1">
        <f t="shared" ref="J3:J21" si="1">(1+$C$3/2)^-I3</f>
        <v>0.9706617486471405</v>
      </c>
    </row>
    <row r="4" spans="2:10" x14ac:dyDescent="0.4">
      <c r="B4" s="1" t="s">
        <v>2</v>
      </c>
      <c r="C4" s="3">
        <v>0.04</v>
      </c>
      <c r="F4" s="1">
        <v>3</v>
      </c>
      <c r="G4" s="1">
        <f t="shared" si="0"/>
        <v>0.91514165935315961</v>
      </c>
      <c r="I4" s="1">
        <v>3</v>
      </c>
      <c r="J4" s="1">
        <f t="shared" si="1"/>
        <v>0.95631699374102519</v>
      </c>
    </row>
    <row r="5" spans="2:10" x14ac:dyDescent="0.4">
      <c r="B5" s="1" t="s">
        <v>1</v>
      </c>
      <c r="C5" s="1">
        <v>10</v>
      </c>
      <c r="F5" s="1">
        <v>4</v>
      </c>
      <c r="G5" s="1">
        <f t="shared" si="0"/>
        <v>0.888487047915689</v>
      </c>
      <c r="I5" s="1">
        <v>4</v>
      </c>
      <c r="J5" s="1">
        <f t="shared" si="1"/>
        <v>0.94218423028672449</v>
      </c>
    </row>
    <row r="6" spans="2:10" x14ac:dyDescent="0.4">
      <c r="B6" s="1" t="s">
        <v>17</v>
      </c>
      <c r="C6" s="1">
        <v>2</v>
      </c>
      <c r="F6" s="1">
        <v>5</v>
      </c>
      <c r="G6" s="1">
        <f t="shared" si="0"/>
        <v>0.86260878438416411</v>
      </c>
      <c r="I6" s="1">
        <v>5</v>
      </c>
      <c r="J6" s="1">
        <f t="shared" si="1"/>
        <v>0.92826032540563996</v>
      </c>
    </row>
    <row r="7" spans="2:10" x14ac:dyDescent="0.4">
      <c r="F7" s="1">
        <v>6</v>
      </c>
      <c r="G7" s="1">
        <f t="shared" si="0"/>
        <v>0.83748425668365445</v>
      </c>
      <c r="I7" s="1">
        <v>6</v>
      </c>
      <c r="J7" s="1">
        <f t="shared" si="1"/>
        <v>0.91454219251787205</v>
      </c>
    </row>
    <row r="8" spans="2:10" x14ac:dyDescent="0.4">
      <c r="F8" s="1">
        <v>7</v>
      </c>
      <c r="G8" s="1">
        <f t="shared" si="0"/>
        <v>0.81309151134335378</v>
      </c>
      <c r="I8" s="1">
        <v>7</v>
      </c>
      <c r="J8" s="1">
        <f t="shared" si="1"/>
        <v>0.90102679065800217</v>
      </c>
    </row>
    <row r="9" spans="2:10" x14ac:dyDescent="0.4">
      <c r="F9" s="1">
        <v>8</v>
      </c>
      <c r="G9" s="1">
        <f t="shared" si="0"/>
        <v>0.78940923431393573</v>
      </c>
      <c r="I9" s="1">
        <v>8</v>
      </c>
      <c r="J9" s="1">
        <f t="shared" si="1"/>
        <v>0.88771112380098749</v>
      </c>
    </row>
    <row r="10" spans="2:10" x14ac:dyDescent="0.4">
      <c r="F10" s="1">
        <v>9</v>
      </c>
      <c r="G10" s="1">
        <f t="shared" si="0"/>
        <v>0.76641673234362695</v>
      </c>
      <c r="I10" s="1">
        <v>9</v>
      </c>
      <c r="J10" s="1">
        <f t="shared" si="1"/>
        <v>0.87459224019801729</v>
      </c>
    </row>
    <row r="11" spans="2:10" x14ac:dyDescent="0.4">
      <c r="F11" s="1">
        <v>10</v>
      </c>
      <c r="G11" s="1">
        <f t="shared" si="0"/>
        <v>0.74409391489672516</v>
      </c>
      <c r="I11" s="1">
        <v>10</v>
      </c>
      <c r="J11" s="1">
        <f t="shared" si="1"/>
        <v>0.86166723172218462</v>
      </c>
    </row>
    <row r="12" spans="2:10" x14ac:dyDescent="0.4">
      <c r="B12" s="17"/>
      <c r="C12" s="17"/>
      <c r="D12" s="17"/>
      <c r="E12" s="17"/>
      <c r="F12" s="17"/>
      <c r="G12" s="4">
        <f>(SUM(G2:G11)*C4+G11)*C2</f>
        <v>2170604.0567355165</v>
      </c>
      <c r="I12" s="1">
        <v>11</v>
      </c>
      <c r="J12" s="1">
        <f t="shared" si="1"/>
        <v>0.8489332332238273</v>
      </c>
    </row>
    <row r="13" spans="2:10" x14ac:dyDescent="0.4">
      <c r="B13" s="17"/>
      <c r="C13" s="17"/>
      <c r="D13" s="17"/>
      <c r="E13" s="17"/>
      <c r="F13" s="17"/>
      <c r="I13" s="1">
        <v>12</v>
      </c>
      <c r="J13" s="1">
        <f t="shared" si="1"/>
        <v>0.83638742189539661</v>
      </c>
    </row>
    <row r="14" spans="2:10" x14ac:dyDescent="0.4">
      <c r="B14" s="17"/>
      <c r="C14" s="17"/>
      <c r="D14" s="17"/>
      <c r="E14" s="17"/>
      <c r="F14" s="17"/>
      <c r="I14" s="1">
        <v>13</v>
      </c>
      <c r="J14" s="1">
        <f t="shared" si="1"/>
        <v>0.82402701664571099</v>
      </c>
    </row>
    <row r="15" spans="2:10" x14ac:dyDescent="0.4">
      <c r="B15" s="17"/>
      <c r="C15" s="17"/>
      <c r="D15" s="17"/>
      <c r="E15" s="17"/>
      <c r="F15" s="17"/>
      <c r="I15" s="1">
        <v>14</v>
      </c>
      <c r="J15" s="1">
        <f t="shared" si="1"/>
        <v>0.81184927748345925</v>
      </c>
    </row>
    <row r="16" spans="2:10" x14ac:dyDescent="0.4">
      <c r="I16" s="1">
        <v>15</v>
      </c>
      <c r="J16" s="1">
        <f t="shared" si="1"/>
        <v>0.79985150490981216</v>
      </c>
    </row>
    <row r="17" spans="2:10" x14ac:dyDescent="0.4">
      <c r="I17" s="1">
        <v>16</v>
      </c>
      <c r="J17" s="1">
        <f t="shared" si="1"/>
        <v>0.78803103932001206</v>
      </c>
    </row>
    <row r="18" spans="2:10" x14ac:dyDescent="0.4">
      <c r="B18" s="9"/>
      <c r="I18" s="1">
        <v>17</v>
      </c>
      <c r="J18" s="1">
        <f t="shared" si="1"/>
        <v>0.77638526041380518</v>
      </c>
    </row>
    <row r="19" spans="2:10" x14ac:dyDescent="0.4">
      <c r="I19" s="1">
        <v>18</v>
      </c>
      <c r="J19" s="1">
        <f t="shared" si="1"/>
        <v>0.76491158661458636</v>
      </c>
    </row>
    <row r="20" spans="2:10" x14ac:dyDescent="0.4">
      <c r="I20" s="1">
        <v>19</v>
      </c>
      <c r="J20" s="1">
        <f t="shared" si="1"/>
        <v>0.7536074744971295</v>
      </c>
    </row>
    <row r="21" spans="2:10" x14ac:dyDescent="0.4">
      <c r="I21" s="1">
        <v>20</v>
      </c>
      <c r="J21" s="1">
        <f t="shared" si="1"/>
        <v>0.74247041822377313</v>
      </c>
    </row>
    <row r="22" spans="2:10" x14ac:dyDescent="0.4">
      <c r="J22" s="12">
        <f>(SUM(J2:J21)*C4/2+J21)*C2</f>
        <v>2171686.3878508247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B2:R24"/>
  <sheetViews>
    <sheetView zoomScaleNormal="100" workbookViewId="0">
      <selection activeCell="C8" sqref="C8"/>
    </sheetView>
  </sheetViews>
  <sheetFormatPr defaultColWidth="10.875" defaultRowHeight="26.25" x14ac:dyDescent="0.4"/>
  <cols>
    <col min="1" max="9" width="10.875" style="1"/>
    <col min="10" max="10" width="16" style="1" bestFit="1" customWidth="1"/>
    <col min="11" max="11" width="13.25" style="1" bestFit="1" customWidth="1"/>
    <col min="12" max="16384" width="10.875" style="1"/>
  </cols>
  <sheetData>
    <row r="2" spans="2:18" x14ac:dyDescent="0.4">
      <c r="B2" s="1" t="s">
        <v>4</v>
      </c>
    </row>
    <row r="4" spans="2:18" x14ac:dyDescent="0.4">
      <c r="B4" s="5">
        <v>1</v>
      </c>
      <c r="C4" s="5">
        <v>2</v>
      </c>
      <c r="D4" s="5">
        <v>3</v>
      </c>
      <c r="F4" s="5">
        <v>1</v>
      </c>
      <c r="G4" s="5">
        <v>2</v>
      </c>
      <c r="H4" s="5">
        <v>3</v>
      </c>
    </row>
    <row r="5" spans="2:18" x14ac:dyDescent="0.4">
      <c r="F5" s="5">
        <v>4</v>
      </c>
      <c r="G5" s="5">
        <v>5</v>
      </c>
      <c r="H5" s="5">
        <v>6</v>
      </c>
    </row>
    <row r="6" spans="2:18" x14ac:dyDescent="0.4">
      <c r="F6" s="5">
        <v>7</v>
      </c>
      <c r="G6" s="5">
        <v>8</v>
      </c>
      <c r="H6" s="5">
        <v>9</v>
      </c>
    </row>
    <row r="7" spans="2:18" x14ac:dyDescent="0.4">
      <c r="N7" s="17"/>
      <c r="O7" s="17"/>
      <c r="P7" s="17"/>
      <c r="Q7" s="17"/>
      <c r="R7" s="17"/>
    </row>
    <row r="8" spans="2:18" x14ac:dyDescent="0.4">
      <c r="F8" s="6">
        <f>B4*F4+C4*F5+D4*F6</f>
        <v>30</v>
      </c>
      <c r="G8" s="6">
        <f>B4*G4+C4*G5+D4*G6</f>
        <v>36</v>
      </c>
      <c r="H8" s="6">
        <f>B4*H4+C4*H5+D4*H6</f>
        <v>42</v>
      </c>
      <c r="N8" s="17"/>
      <c r="O8" s="17"/>
      <c r="P8" s="17"/>
      <c r="Q8" s="17"/>
      <c r="R8" s="17"/>
    </row>
    <row r="9" spans="2:18" x14ac:dyDescent="0.4">
      <c r="N9" s="17"/>
      <c r="O9" s="17"/>
      <c r="P9" s="17"/>
      <c r="Q9" s="17"/>
      <c r="R9" s="17"/>
    </row>
    <row r="10" spans="2:18" x14ac:dyDescent="0.4">
      <c r="N10" s="17"/>
      <c r="O10" s="17"/>
      <c r="P10" s="17"/>
      <c r="Q10" s="17"/>
      <c r="R10" s="17"/>
    </row>
    <row r="23" spans="2:2" x14ac:dyDescent="0.4">
      <c r="B23" s="9"/>
    </row>
    <row r="24" spans="2:2" x14ac:dyDescent="0.4">
      <c r="B24" s="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B15:AF48"/>
  <sheetViews>
    <sheetView workbookViewId="0"/>
  </sheetViews>
  <sheetFormatPr defaultColWidth="10.875" defaultRowHeight="18.75" x14ac:dyDescent="0.3"/>
  <cols>
    <col min="1" max="1" width="10.875" style="13"/>
    <col min="2" max="2" width="9.875" style="13" bestFit="1" customWidth="1"/>
    <col min="3" max="6" width="6" style="13" bestFit="1" customWidth="1"/>
    <col min="7" max="8" width="7.875" style="13" bestFit="1" customWidth="1"/>
    <col min="9" max="10" width="6.125" style="13" bestFit="1" customWidth="1"/>
    <col min="11" max="14" width="6" style="13" bestFit="1" customWidth="1"/>
    <col min="15" max="16" width="7.875" style="13" bestFit="1" customWidth="1"/>
    <col min="17" max="18" width="6.125" style="13" bestFit="1" customWidth="1"/>
    <col min="19" max="19" width="6" style="13" bestFit="1" customWidth="1"/>
    <col min="20" max="20" width="5.5" style="13" bestFit="1" customWidth="1"/>
    <col min="21" max="22" width="6" style="13" bestFit="1" customWidth="1"/>
    <col min="23" max="24" width="7.875" style="13" bestFit="1" customWidth="1"/>
    <col min="25" max="26" width="6.125" style="13" bestFit="1" customWidth="1"/>
    <col min="27" max="28" width="5.375" style="13" bestFit="1" customWidth="1"/>
    <col min="29" max="29" width="4.875" style="13" bestFit="1" customWidth="1"/>
    <col min="30" max="30" width="5.125" style="13" bestFit="1" customWidth="1"/>
    <col min="31" max="32" width="7.625" style="13" bestFit="1" customWidth="1"/>
    <col min="33" max="34" width="6" style="13" bestFit="1" customWidth="1"/>
    <col min="35" max="16384" width="10.875" style="13"/>
  </cols>
  <sheetData>
    <row r="15" spans="28:32" ht="26.25" x14ac:dyDescent="0.4">
      <c r="AB15" s="17"/>
      <c r="AC15" s="17"/>
      <c r="AD15" s="17"/>
      <c r="AE15" s="17"/>
      <c r="AF15" s="17"/>
    </row>
    <row r="16" spans="28:32" ht="26.25" x14ac:dyDescent="0.4">
      <c r="AB16" s="17"/>
      <c r="AC16" s="17"/>
      <c r="AD16" s="17"/>
      <c r="AE16" s="17"/>
      <c r="AF16" s="17"/>
    </row>
    <row r="17" spans="2:32" ht="26.25" x14ac:dyDescent="0.4">
      <c r="AB17" s="17"/>
      <c r="AC17" s="17"/>
      <c r="AD17" s="17"/>
      <c r="AE17" s="17"/>
      <c r="AF17" s="17"/>
    </row>
    <row r="18" spans="2:32" ht="26.25" x14ac:dyDescent="0.4">
      <c r="AB18" s="17"/>
      <c r="AC18" s="17"/>
      <c r="AD18" s="17"/>
      <c r="AE18" s="17"/>
      <c r="AF18" s="17"/>
    </row>
    <row r="23" spans="2:32" x14ac:dyDescent="0.3">
      <c r="B23" s="15" t="s">
        <v>38</v>
      </c>
    </row>
    <row r="24" spans="2:32" x14ac:dyDescent="0.3">
      <c r="B24" s="15" t="s">
        <v>39</v>
      </c>
    </row>
    <row r="35" spans="2:26" x14ac:dyDescent="0.3">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3">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3">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3">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3">
      <c r="B39" s="13" t="s">
        <v>28</v>
      </c>
      <c r="C39" s="14">
        <f ca="1">C38+_xlfn.NORM.S.INV(RAND())</f>
        <v>3.0241015149571948E-2</v>
      </c>
      <c r="D39" s="14">
        <f t="shared" ref="D39:Z48" ca="1" si="0">D38+_xlfn.NORM.S.INV(RAND())</f>
        <v>-0.47506489258921469</v>
      </c>
      <c r="E39" s="14">
        <f t="shared" ca="1" si="0"/>
        <v>0.51542148038388913</v>
      </c>
      <c r="F39" s="14">
        <f t="shared" ca="1" si="0"/>
        <v>-0.20720209851598365</v>
      </c>
      <c r="G39" s="14">
        <f t="shared" ca="1" si="0"/>
        <v>-1.7044079684318649</v>
      </c>
      <c r="H39" s="14">
        <f t="shared" ca="1" si="0"/>
        <v>0.13545616442518854</v>
      </c>
      <c r="I39" s="14">
        <f t="shared" ca="1" si="0"/>
        <v>0.40278745199859634</v>
      </c>
      <c r="J39" s="14">
        <f t="shared" ca="1" si="0"/>
        <v>-1.799554376484779</v>
      </c>
      <c r="K39" s="14">
        <f t="shared" ca="1" si="0"/>
        <v>-0.15137849037936682</v>
      </c>
      <c r="L39" s="14">
        <f t="shared" ca="1" si="0"/>
        <v>0.30112154393568108</v>
      </c>
      <c r="M39" s="14">
        <f t="shared" ca="1" si="0"/>
        <v>0.82943755185084478</v>
      </c>
      <c r="N39" s="14">
        <f t="shared" ca="1" si="0"/>
        <v>-0.33703556550288172</v>
      </c>
      <c r="O39" s="14">
        <f t="shared" ca="1" si="0"/>
        <v>0.92125503300418099</v>
      </c>
      <c r="P39" s="14">
        <f t="shared" ca="1" si="0"/>
        <v>0.774692683917655</v>
      </c>
      <c r="Q39" s="14">
        <f t="shared" ca="1" si="0"/>
        <v>0.5539414391612475</v>
      </c>
      <c r="R39" s="14">
        <f t="shared" ca="1" si="0"/>
        <v>1.0295627393319404</v>
      </c>
      <c r="S39" s="14">
        <f t="shared" ca="1" si="0"/>
        <v>-0.49929708267570355</v>
      </c>
      <c r="T39" s="14">
        <f t="shared" ca="1" si="0"/>
        <v>1.1708001617708201</v>
      </c>
      <c r="U39" s="14">
        <f t="shared" ca="1" si="0"/>
        <v>0.8135260536790534</v>
      </c>
      <c r="V39" s="14">
        <f t="shared" ca="1" si="0"/>
        <v>0.29086150189394966</v>
      </c>
      <c r="W39" s="14">
        <f t="shared" ca="1" si="0"/>
        <v>0.93960967088691194</v>
      </c>
      <c r="X39" s="14">
        <f t="shared" ca="1" si="0"/>
        <v>1.6724363930392765</v>
      </c>
      <c r="Y39" s="14">
        <f t="shared" ca="1" si="0"/>
        <v>0.94050373004577692</v>
      </c>
      <c r="Z39" s="14">
        <f t="shared" ca="1" si="0"/>
        <v>0.62023409538581664</v>
      </c>
    </row>
    <row r="40" spans="2:26" x14ac:dyDescent="0.3">
      <c r="B40" s="13" t="s">
        <v>29</v>
      </c>
      <c r="C40" s="14">
        <f t="shared" ref="C40:C48" ca="1" si="1">C39+_xlfn.NORM.S.INV(RAND())</f>
        <v>0.57362419185129565</v>
      </c>
      <c r="D40" s="14">
        <f t="shared" ca="1" si="0"/>
        <v>0.63712839253076625</v>
      </c>
      <c r="E40" s="14">
        <f t="shared" ca="1" si="0"/>
        <v>2.6417077837353036</v>
      </c>
      <c r="F40" s="14">
        <f t="shared" ca="1" si="0"/>
        <v>-0.70081645226727707</v>
      </c>
      <c r="G40" s="14">
        <f t="shared" ca="1" si="0"/>
        <v>-1.6962769034865532</v>
      </c>
      <c r="H40" s="14">
        <f t="shared" ca="1" si="0"/>
        <v>-7.5818137175802908E-2</v>
      </c>
      <c r="I40" s="14">
        <f t="shared" ca="1" si="0"/>
        <v>-1.2075825389907537</v>
      </c>
      <c r="J40" s="14">
        <f t="shared" ca="1" si="0"/>
        <v>-0.46108869791913643</v>
      </c>
      <c r="K40" s="14">
        <f t="shared" ca="1" si="0"/>
        <v>0.16634067662278931</v>
      </c>
      <c r="L40" s="14">
        <f t="shared" ca="1" si="0"/>
        <v>-0.17878169859046994</v>
      </c>
      <c r="M40" s="14">
        <f t="shared" ca="1" si="0"/>
        <v>0.93044953910829964</v>
      </c>
      <c r="N40" s="14">
        <f t="shared" ca="1" si="0"/>
        <v>1.2441974006147598</v>
      </c>
      <c r="O40" s="14">
        <f t="shared" ca="1" si="0"/>
        <v>1.7306438780970184</v>
      </c>
      <c r="P40" s="14">
        <f t="shared" ca="1" si="0"/>
        <v>1.4974714934165365</v>
      </c>
      <c r="Q40" s="14">
        <f t="shared" ca="1" si="0"/>
        <v>0.50298919475216819</v>
      </c>
      <c r="R40" s="14">
        <f t="shared" ca="1" si="0"/>
        <v>0.99308716648697326</v>
      </c>
      <c r="S40" s="14">
        <f t="shared" ca="1" si="0"/>
        <v>-1.6723462233062585</v>
      </c>
      <c r="T40" s="14">
        <f t="shared" ca="1" si="0"/>
        <v>3.5406807024658824</v>
      </c>
      <c r="U40" s="14">
        <f t="shared" ca="1" si="0"/>
        <v>1.1753758961687459</v>
      </c>
      <c r="V40" s="14">
        <f t="shared" ca="1" si="0"/>
        <v>1.155465688247862</v>
      </c>
      <c r="W40" s="14">
        <f t="shared" ca="1" si="0"/>
        <v>1.6025769085265367</v>
      </c>
      <c r="X40" s="14">
        <f t="shared" ca="1" si="0"/>
        <v>1.4304503731128699</v>
      </c>
      <c r="Y40" s="14">
        <f t="shared" ca="1" si="0"/>
        <v>1.0431062992424598</v>
      </c>
      <c r="Z40" s="14">
        <f t="shared" ca="1" si="0"/>
        <v>1.5212183992269908</v>
      </c>
    </row>
    <row r="41" spans="2:26" x14ac:dyDescent="0.3">
      <c r="B41" s="13" t="s">
        <v>30</v>
      </c>
      <c r="C41" s="14">
        <f t="shared" ca="1" si="1"/>
        <v>0.78957570876547656</v>
      </c>
      <c r="D41" s="14">
        <f t="shared" ca="1" si="0"/>
        <v>0.38942540811258186</v>
      </c>
      <c r="E41" s="14">
        <f t="shared" ca="1" si="0"/>
        <v>2.8239209496016762</v>
      </c>
      <c r="F41" s="14">
        <f t="shared" ca="1" si="0"/>
        <v>-0.91169894309863275</v>
      </c>
      <c r="G41" s="14">
        <f t="shared" ca="1" si="0"/>
        <v>-2.1201964555267416</v>
      </c>
      <c r="H41" s="14">
        <f t="shared" ca="1" si="0"/>
        <v>0.90270820355936177</v>
      </c>
      <c r="I41" s="14">
        <f t="shared" ca="1" si="0"/>
        <v>-1.0073588262855342</v>
      </c>
      <c r="J41" s="14">
        <f t="shared" ca="1" si="0"/>
        <v>2.2546929303453866E-2</v>
      </c>
      <c r="K41" s="14">
        <f t="shared" ca="1" si="0"/>
        <v>0.45487591847459419</v>
      </c>
      <c r="L41" s="14">
        <f t="shared" ca="1" si="0"/>
        <v>0.79897770722312034</v>
      </c>
      <c r="M41" s="14">
        <f t="shared" ca="1" si="0"/>
        <v>3.5881447020478174</v>
      </c>
      <c r="N41" s="14">
        <f t="shared" ca="1" si="0"/>
        <v>2.4094365997371519</v>
      </c>
      <c r="O41" s="14">
        <f t="shared" ca="1" si="0"/>
        <v>0.84102776212742147</v>
      </c>
      <c r="P41" s="14">
        <f t="shared" ca="1" si="0"/>
        <v>2.9187084197599029</v>
      </c>
      <c r="Q41" s="14">
        <f t="shared" ca="1" si="0"/>
        <v>0.94794857470071703</v>
      </c>
      <c r="R41" s="14">
        <f t="shared" ca="1" si="0"/>
        <v>5.9867999872312505E-2</v>
      </c>
      <c r="S41" s="14">
        <f t="shared" ca="1" si="0"/>
        <v>-2.8231115169838361</v>
      </c>
      <c r="T41" s="14">
        <f t="shared" ca="1" si="0"/>
        <v>4.4151993201455912</v>
      </c>
      <c r="U41" s="14">
        <f t="shared" ca="1" si="0"/>
        <v>0.49327756351361884</v>
      </c>
      <c r="V41" s="14">
        <f t="shared" ca="1" si="0"/>
        <v>2.6190033960632695</v>
      </c>
      <c r="W41" s="14">
        <f t="shared" ca="1" si="0"/>
        <v>1.9956192696494877</v>
      </c>
      <c r="X41" s="14">
        <f t="shared" ca="1" si="0"/>
        <v>1.1791021646775013</v>
      </c>
      <c r="Y41" s="14">
        <f t="shared" ca="1" si="0"/>
        <v>2.8330708210743589</v>
      </c>
      <c r="Z41" s="14">
        <f t="shared" ca="1" si="0"/>
        <v>1.6629417159520485</v>
      </c>
    </row>
    <row r="42" spans="2:26" x14ac:dyDescent="0.3">
      <c r="B42" s="13" t="s">
        <v>31</v>
      </c>
      <c r="C42" s="14">
        <f t="shared" ca="1" si="1"/>
        <v>0.3750387186822397</v>
      </c>
      <c r="D42" s="14">
        <f t="shared" ca="1" si="0"/>
        <v>1.4888473054081426</v>
      </c>
      <c r="E42" s="14">
        <f t="shared" ca="1" si="0"/>
        <v>4.0395216427645977</v>
      </c>
      <c r="F42" s="14">
        <f t="shared" ca="1" si="0"/>
        <v>7.0326814081149713E-3</v>
      </c>
      <c r="G42" s="14">
        <f t="shared" ca="1" si="0"/>
        <v>-2.4322897504369996</v>
      </c>
      <c r="H42" s="14">
        <f t="shared" ca="1" si="0"/>
        <v>1.5382332760153212</v>
      </c>
      <c r="I42" s="14">
        <f t="shared" ca="1" si="0"/>
        <v>-0.31634779097485044</v>
      </c>
      <c r="J42" s="14">
        <f t="shared" ca="1" si="0"/>
        <v>-0.11759915780819408</v>
      </c>
      <c r="K42" s="14">
        <f t="shared" ca="1" si="0"/>
        <v>1.2712503943659184</v>
      </c>
      <c r="L42" s="14">
        <f t="shared" ca="1" si="0"/>
        <v>0.91956727349844192</v>
      </c>
      <c r="M42" s="14">
        <f t="shared" ca="1" si="0"/>
        <v>3.8890507972647814</v>
      </c>
      <c r="N42" s="14">
        <f t="shared" ca="1" si="0"/>
        <v>2.1571402561920978</v>
      </c>
      <c r="O42" s="14">
        <f t="shared" ca="1" si="0"/>
        <v>-0.13372253396044853</v>
      </c>
      <c r="P42" s="14">
        <f t="shared" ca="1" si="0"/>
        <v>3.9810436641701852</v>
      </c>
      <c r="Q42" s="14">
        <f t="shared" ca="1" si="0"/>
        <v>1.8739706852397406</v>
      </c>
      <c r="R42" s="14">
        <f t="shared" ca="1" si="0"/>
        <v>0.52498737995517142</v>
      </c>
      <c r="S42" s="14">
        <f t="shared" ca="1" si="0"/>
        <v>-2.542896096654728</v>
      </c>
      <c r="T42" s="14">
        <f t="shared" ca="1" si="0"/>
        <v>4.4731883706135225</v>
      </c>
      <c r="U42" s="14">
        <f t="shared" ca="1" si="0"/>
        <v>0.73670430020512456</v>
      </c>
      <c r="V42" s="14">
        <f t="shared" ca="1" si="0"/>
        <v>3.7454948611845817</v>
      </c>
      <c r="W42" s="14">
        <f t="shared" ca="1" si="0"/>
        <v>3.6811446055230026</v>
      </c>
      <c r="X42" s="14">
        <f t="shared" ca="1" si="0"/>
        <v>3.0645034935576492</v>
      </c>
      <c r="Y42" s="14">
        <f t="shared" ca="1" si="0"/>
        <v>2.1136439019833575</v>
      </c>
      <c r="Z42" s="14">
        <f t="shared" ca="1" si="0"/>
        <v>3.0666185948286069</v>
      </c>
    </row>
    <row r="43" spans="2:26" x14ac:dyDescent="0.3">
      <c r="B43" s="13" t="s">
        <v>32</v>
      </c>
      <c r="C43" s="14">
        <f t="shared" ca="1" si="1"/>
        <v>-0.74979890241478953</v>
      </c>
      <c r="D43" s="14">
        <f t="shared" ca="1" si="0"/>
        <v>1.838574638200638</v>
      </c>
      <c r="E43" s="14">
        <f t="shared" ca="1" si="0"/>
        <v>4.4658547956056323</v>
      </c>
      <c r="F43" s="14">
        <f t="shared" ca="1" si="0"/>
        <v>0.67065927091100686</v>
      </c>
      <c r="G43" s="14">
        <f t="shared" ca="1" si="0"/>
        <v>-2.162931273041814</v>
      </c>
      <c r="H43" s="14">
        <f t="shared" ca="1" si="0"/>
        <v>2.9438717459304198</v>
      </c>
      <c r="I43" s="14">
        <f t="shared" ca="1" si="0"/>
        <v>-9.9636911404685502E-2</v>
      </c>
      <c r="J43" s="14">
        <f t="shared" ca="1" si="0"/>
        <v>-0.37063733043726121</v>
      </c>
      <c r="K43" s="14">
        <f t="shared" ca="1" si="0"/>
        <v>0.97628511649929062</v>
      </c>
      <c r="L43" s="14">
        <f t="shared" ca="1" si="0"/>
        <v>0.46606259029923003</v>
      </c>
      <c r="M43" s="14">
        <f t="shared" ca="1" si="0"/>
        <v>4.1648616767091333</v>
      </c>
      <c r="N43" s="14">
        <f t="shared" ca="1" si="0"/>
        <v>2.1519680650929018</v>
      </c>
      <c r="O43" s="14">
        <f t="shared" ca="1" si="0"/>
        <v>-2.2452047821151817</v>
      </c>
      <c r="P43" s="14">
        <f t="shared" ca="1" si="0"/>
        <v>2.3669525225940005</v>
      </c>
      <c r="Q43" s="14">
        <f t="shared" ca="1" si="0"/>
        <v>2.3212179531403185</v>
      </c>
      <c r="R43" s="14">
        <f t="shared" ca="1" si="0"/>
        <v>-5.7909709139537413E-2</v>
      </c>
      <c r="S43" s="14">
        <f t="shared" ca="1" si="0"/>
        <v>-2.7051346039364259</v>
      </c>
      <c r="T43" s="14">
        <f t="shared" ca="1" si="0"/>
        <v>4.800666511097841</v>
      </c>
      <c r="U43" s="14">
        <f t="shared" ca="1" si="0"/>
        <v>-0.26979488628528503</v>
      </c>
      <c r="V43" s="14">
        <f t="shared" ca="1" si="0"/>
        <v>3.2374795435295525</v>
      </c>
      <c r="W43" s="14">
        <f t="shared" ca="1" si="0"/>
        <v>4.0037863411369505</v>
      </c>
      <c r="X43" s="14">
        <f t="shared" ca="1" si="0"/>
        <v>3.5646158280812053</v>
      </c>
      <c r="Y43" s="14">
        <f t="shared" ca="1" si="0"/>
        <v>2.0658549220585116</v>
      </c>
      <c r="Z43" s="14">
        <f t="shared" ca="1" si="0"/>
        <v>3.2433442005025706</v>
      </c>
    </row>
    <row r="44" spans="2:26" x14ac:dyDescent="0.3">
      <c r="B44" s="13" t="s">
        <v>33</v>
      </c>
      <c r="C44" s="14">
        <f t="shared" ca="1" si="1"/>
        <v>-0.73624069674180392</v>
      </c>
      <c r="D44" s="14">
        <f t="shared" ca="1" si="0"/>
        <v>3.4652920553493551</v>
      </c>
      <c r="E44" s="14">
        <f t="shared" ca="1" si="0"/>
        <v>5.1291051474501916</v>
      </c>
      <c r="F44" s="14">
        <f t="shared" ca="1" si="0"/>
        <v>0.71902979999463357</v>
      </c>
      <c r="G44" s="14">
        <f t="shared" ca="1" si="0"/>
        <v>-1.4722592969239967</v>
      </c>
      <c r="H44" s="14">
        <f t="shared" ca="1" si="0"/>
        <v>4.3686093293405381</v>
      </c>
      <c r="I44" s="14">
        <f t="shared" ca="1" si="0"/>
        <v>-0.72145576711791071</v>
      </c>
      <c r="J44" s="14">
        <f t="shared" ca="1" si="0"/>
        <v>-1.4933357385738104</v>
      </c>
      <c r="K44" s="14">
        <f t="shared" ca="1" si="0"/>
        <v>3.2053333261320263</v>
      </c>
      <c r="L44" s="14">
        <f t="shared" ca="1" si="0"/>
        <v>0.67367738254927856</v>
      </c>
      <c r="M44" s="14">
        <f t="shared" ca="1" si="0"/>
        <v>3.5427465158690583</v>
      </c>
      <c r="N44" s="14">
        <f t="shared" ca="1" si="0"/>
        <v>1.6334355385364758</v>
      </c>
      <c r="O44" s="14">
        <f t="shared" ca="1" si="0"/>
        <v>-0.39187346322619421</v>
      </c>
      <c r="P44" s="14">
        <f t="shared" ca="1" si="0"/>
        <v>2.0097126533439003</v>
      </c>
      <c r="Q44" s="14">
        <f t="shared" ca="1" si="0"/>
        <v>3.0146235779334472</v>
      </c>
      <c r="R44" s="14">
        <f t="shared" ca="1" si="0"/>
        <v>-1.4596441856471736</v>
      </c>
      <c r="S44" s="14">
        <f t="shared" ca="1" si="0"/>
        <v>-4.4048804524205094</v>
      </c>
      <c r="T44" s="14">
        <f t="shared" ca="1" si="0"/>
        <v>3.7782819645700361</v>
      </c>
      <c r="U44" s="14">
        <f t="shared" ca="1" si="0"/>
        <v>-1.2767447297112469</v>
      </c>
      <c r="V44" s="14">
        <f t="shared" ca="1" si="0"/>
        <v>1.9321662149958265</v>
      </c>
      <c r="W44" s="14">
        <f t="shared" ca="1" si="0"/>
        <v>4.7109317627509677</v>
      </c>
      <c r="X44" s="14">
        <f t="shared" ca="1" si="0"/>
        <v>2.7682042063386358</v>
      </c>
      <c r="Y44" s="14">
        <f t="shared" ca="1" si="0"/>
        <v>5.7136318412348341E-2</v>
      </c>
      <c r="Z44" s="14">
        <f t="shared" ca="1" si="0"/>
        <v>1.9712208955531676</v>
      </c>
    </row>
    <row r="45" spans="2:26" x14ac:dyDescent="0.3">
      <c r="B45" s="13" t="s">
        <v>34</v>
      </c>
      <c r="C45" s="14">
        <f t="shared" ca="1" si="1"/>
        <v>-1.7069960708720311</v>
      </c>
      <c r="D45" s="14">
        <f t="shared" ca="1" si="0"/>
        <v>3.1952293175797073</v>
      </c>
      <c r="E45" s="14">
        <f t="shared" ca="1" si="0"/>
        <v>5.967758745557199</v>
      </c>
      <c r="F45" s="14">
        <f t="shared" ca="1" si="0"/>
        <v>1.1780354221982579</v>
      </c>
      <c r="G45" s="14">
        <f t="shared" ca="1" si="0"/>
        <v>-1.3167872690058444</v>
      </c>
      <c r="H45" s="14">
        <f t="shared" ca="1" si="0"/>
        <v>4.4363402714710514</v>
      </c>
      <c r="I45" s="14">
        <f t="shared" ca="1" si="0"/>
        <v>-2.0267780208162987</v>
      </c>
      <c r="J45" s="14">
        <f t="shared" ca="1" si="0"/>
        <v>-3.6776964447397935</v>
      </c>
      <c r="K45" s="14">
        <f t="shared" ca="1" si="0"/>
        <v>4.3927074117399059</v>
      </c>
      <c r="L45" s="14">
        <f t="shared" ca="1" si="0"/>
        <v>1.5489205794222296</v>
      </c>
      <c r="M45" s="14">
        <f t="shared" ca="1" si="0"/>
        <v>3.8172737567046982</v>
      </c>
      <c r="N45" s="14">
        <f t="shared" ca="1" si="0"/>
        <v>0.99885200362320614</v>
      </c>
      <c r="O45" s="14">
        <f t="shared" ca="1" si="0"/>
        <v>-0.42048145041145929</v>
      </c>
      <c r="P45" s="14">
        <f t="shared" ca="1" si="0"/>
        <v>2.3451044344596852</v>
      </c>
      <c r="Q45" s="14">
        <f t="shared" ca="1" si="0"/>
        <v>4.4337747395087987</v>
      </c>
      <c r="R45" s="14">
        <f t="shared" ca="1" si="0"/>
        <v>-2.5952812118480466</v>
      </c>
      <c r="S45" s="14">
        <f t="shared" ca="1" si="0"/>
        <v>-6.6555588460416057</v>
      </c>
      <c r="T45" s="14">
        <f t="shared" ca="1" si="0"/>
        <v>4.2715003730273562</v>
      </c>
      <c r="U45" s="14">
        <f t="shared" ca="1" si="0"/>
        <v>-2.3302777937180927</v>
      </c>
      <c r="V45" s="14">
        <f t="shared" ca="1" si="0"/>
        <v>0.55703769548887316</v>
      </c>
      <c r="W45" s="14">
        <f t="shared" ca="1" si="0"/>
        <v>4.6299670380713955</v>
      </c>
      <c r="X45" s="14">
        <f ca="1">X44+_xlfn.NORM.S.INV(RAND())</f>
        <v>2.6487777965635968</v>
      </c>
      <c r="Y45" s="14">
        <f t="shared" ca="1" si="0"/>
        <v>-0.36863630098889394</v>
      </c>
      <c r="Z45" s="14">
        <f t="shared" ca="1" si="0"/>
        <v>2.1760024359737833</v>
      </c>
    </row>
    <row r="46" spans="2:26" x14ac:dyDescent="0.3">
      <c r="B46" s="13" t="s">
        <v>35</v>
      </c>
      <c r="C46" s="14">
        <f t="shared" ca="1" si="1"/>
        <v>-1.9311101737519296</v>
      </c>
      <c r="D46" s="14">
        <f t="shared" ca="1" si="0"/>
        <v>3.0743610863130133</v>
      </c>
      <c r="E46" s="14">
        <f t="shared" ca="1" si="0"/>
        <v>7.1398422710687592</v>
      </c>
      <c r="F46" s="14">
        <f t="shared" ca="1" si="0"/>
        <v>0.5146801677514824</v>
      </c>
      <c r="G46" s="14">
        <f t="shared" ca="1" si="0"/>
        <v>-1.9646679529102271</v>
      </c>
      <c r="H46" s="14">
        <f t="shared" ca="1" si="0"/>
        <v>4.5498564843891716</v>
      </c>
      <c r="I46" s="14">
        <f t="shared" ca="1" si="0"/>
        <v>-3.594500708189539</v>
      </c>
      <c r="J46" s="14">
        <f t="shared" ca="1" si="0"/>
        <v>-2.602698591901242</v>
      </c>
      <c r="K46" s="14">
        <f t="shared" ca="1" si="0"/>
        <v>4.0899567063995619</v>
      </c>
      <c r="L46" s="14">
        <f t="shared" ca="1" si="0"/>
        <v>1.9978746228326383</v>
      </c>
      <c r="M46" s="14">
        <f t="shared" ca="1" si="0"/>
        <v>3.5433168632473113</v>
      </c>
      <c r="N46" s="14">
        <f t="shared" ca="1" si="0"/>
        <v>-0.16662551670046677</v>
      </c>
      <c r="O46" s="14">
        <f t="shared" ca="1" si="0"/>
        <v>-1.7317258860324123</v>
      </c>
      <c r="P46" s="14">
        <f t="shared" ca="1" si="0"/>
        <v>2.7051875032809836</v>
      </c>
      <c r="Q46" s="14">
        <f t="shared" ca="1" si="0"/>
        <v>4.8402802522922679</v>
      </c>
      <c r="R46" s="14">
        <f t="shared" ca="1" si="0"/>
        <v>-3.5138155885388072</v>
      </c>
      <c r="S46" s="14">
        <f t="shared" ca="1" si="0"/>
        <v>-5.1425907451586594</v>
      </c>
      <c r="T46" s="14">
        <f t="shared" ca="1" si="0"/>
        <v>2.2314806551290518</v>
      </c>
      <c r="U46" s="14">
        <f t="shared" ca="1" si="0"/>
        <v>-2.8593041478602919</v>
      </c>
      <c r="V46" s="14">
        <f t="shared" ca="1" si="0"/>
        <v>3.479089959955294</v>
      </c>
      <c r="W46" s="14">
        <f t="shared" ca="1" si="0"/>
        <v>4.615046467722876</v>
      </c>
      <c r="X46" s="14">
        <f t="shared" ca="1" si="0"/>
        <v>3.4421091292727262</v>
      </c>
      <c r="Y46" s="14">
        <f t="shared" ca="1" si="0"/>
        <v>-1.1003567906427454</v>
      </c>
      <c r="Z46" s="14">
        <f t="shared" ca="1" si="0"/>
        <v>2.1898406288635162</v>
      </c>
    </row>
    <row r="47" spans="2:26" x14ac:dyDescent="0.3">
      <c r="B47" s="13" t="s">
        <v>36</v>
      </c>
      <c r="C47" s="14">
        <f t="shared" ca="1" si="1"/>
        <v>-2.7417546085143285</v>
      </c>
      <c r="D47" s="14">
        <f t="shared" ca="1" si="0"/>
        <v>2.4747244716699148</v>
      </c>
      <c r="E47" s="14">
        <f t="shared" ca="1" si="0"/>
        <v>6.8574618896556965</v>
      </c>
      <c r="F47" s="14">
        <f t="shared" ca="1" si="0"/>
        <v>-0.74620104536950416</v>
      </c>
      <c r="G47" s="14">
        <f t="shared" ca="1" si="0"/>
        <v>-1.5630854471170643</v>
      </c>
      <c r="H47" s="14">
        <f t="shared" ca="1" si="0"/>
        <v>3.5295151613860596</v>
      </c>
      <c r="I47" s="14">
        <f t="shared" ca="1" si="0"/>
        <v>-4.051636585297361</v>
      </c>
      <c r="J47" s="14">
        <f t="shared" ca="1" si="0"/>
        <v>-2.9620736661906419</v>
      </c>
      <c r="K47" s="14">
        <f t="shared" ca="1" si="0"/>
        <v>5.186257438864212</v>
      </c>
      <c r="L47" s="14">
        <f t="shared" ca="1" si="0"/>
        <v>2.6272047392573326</v>
      </c>
      <c r="M47" s="14">
        <f t="shared" ca="1" si="0"/>
        <v>3.531776700182454</v>
      </c>
      <c r="N47" s="14">
        <f t="shared" ca="1" si="0"/>
        <v>-0.45548359772230207</v>
      </c>
      <c r="O47" s="14">
        <f t="shared" ca="1" si="0"/>
        <v>-0.49173008507018157</v>
      </c>
      <c r="P47" s="14">
        <f t="shared" ca="1" si="0"/>
        <v>3.1995393723607832</v>
      </c>
      <c r="Q47" s="14">
        <f t="shared" ca="1" si="0"/>
        <v>4.9327727612390762</v>
      </c>
      <c r="R47" s="14">
        <f t="shared" ca="1" si="0"/>
        <v>-2.2534858258950576</v>
      </c>
      <c r="S47" s="14">
        <f t="shared" ca="1" si="0"/>
        <v>-6.7091055333128242</v>
      </c>
      <c r="T47" s="14">
        <f t="shared" ca="1" si="0"/>
        <v>0.61618833995991062</v>
      </c>
      <c r="U47" s="14">
        <f t="shared" ca="1" si="0"/>
        <v>-2.4718924899389583</v>
      </c>
      <c r="V47" s="14">
        <f t="shared" ca="1" si="0"/>
        <v>4.0329600331428903</v>
      </c>
      <c r="W47" s="14">
        <f t="shared" ca="1" si="0"/>
        <v>3.6163807524657163</v>
      </c>
      <c r="X47" s="14">
        <f t="shared" ca="1" si="0"/>
        <v>3.9021692446188432</v>
      </c>
      <c r="Y47" s="14">
        <f t="shared" ca="1" si="0"/>
        <v>-0.32936818914075361</v>
      </c>
      <c r="Z47" s="14">
        <f t="shared" ca="1" si="0"/>
        <v>3.5133592429273635</v>
      </c>
    </row>
    <row r="48" spans="2:26" x14ac:dyDescent="0.3">
      <c r="B48" s="13" t="s">
        <v>37</v>
      </c>
      <c r="C48" s="14">
        <f t="shared" ca="1" si="1"/>
        <v>-1.8880259192948192</v>
      </c>
      <c r="D48" s="14">
        <f t="shared" ca="1" si="0"/>
        <v>2.0826537992537295</v>
      </c>
      <c r="E48" s="14">
        <f t="shared" ca="1" si="0"/>
        <v>6.4745411681414007</v>
      </c>
      <c r="F48" s="14">
        <f t="shared" ca="1" si="0"/>
        <v>-1.4668287623471263</v>
      </c>
      <c r="G48" s="14">
        <f t="shared" ca="1" si="0"/>
        <v>-4.4532561818339671</v>
      </c>
      <c r="H48" s="14">
        <f t="shared" ca="1" si="0"/>
        <v>2.9134516856792052</v>
      </c>
      <c r="I48" s="14">
        <f t="shared" ca="1" si="0"/>
        <v>-3.9472496665896095</v>
      </c>
      <c r="J48" s="14">
        <f t="shared" ca="1" si="0"/>
        <v>-3.3534019714745158</v>
      </c>
      <c r="K48" s="14">
        <f t="shared" ca="1" si="0"/>
        <v>4.5088621053765037</v>
      </c>
      <c r="L48" s="14">
        <f t="shared" ca="1" si="0"/>
        <v>2.692800599534674</v>
      </c>
      <c r="M48" s="14">
        <f t="shared" ca="1" si="0"/>
        <v>3.0429999657343534</v>
      </c>
      <c r="N48" s="14">
        <f t="shared" ca="1" si="0"/>
        <v>-1.1604810135330266</v>
      </c>
      <c r="O48" s="14">
        <f t="shared" ca="1" si="0"/>
        <v>-0.98899737468953908</v>
      </c>
      <c r="P48" s="14">
        <f t="shared" ca="1" si="0"/>
        <v>2.6138324243505489</v>
      </c>
      <c r="Q48" s="14">
        <f t="shared" ca="1" si="0"/>
        <v>4.9844292947355173</v>
      </c>
      <c r="R48" s="14">
        <f t="shared" ca="1" si="0"/>
        <v>-3.6510251109604042</v>
      </c>
      <c r="S48" s="14">
        <f t="shared" ca="1" si="0"/>
        <v>-8.0999315829943566</v>
      </c>
      <c r="T48" s="14">
        <f t="shared" ca="1" si="0"/>
        <v>-4.9261148573722657E-2</v>
      </c>
      <c r="U48" s="14">
        <f t="shared" ca="1" si="0"/>
        <v>-3.2834101717307234</v>
      </c>
      <c r="V48" s="14">
        <f t="shared" ca="1" si="0"/>
        <v>4.8541457642091874</v>
      </c>
      <c r="W48" s="14">
        <f t="shared" ca="1" si="0"/>
        <v>3.757517747165481</v>
      </c>
      <c r="X48" s="14">
        <f t="shared" ca="1" si="0"/>
        <v>6.1044424917754583</v>
      </c>
      <c r="Y48" s="14">
        <f t="shared" ca="1" si="0"/>
        <v>1.4953529960126419</v>
      </c>
      <c r="Z48" s="14">
        <f t="shared" ca="1" si="0"/>
        <v>2.9982716269446792</v>
      </c>
    </row>
  </sheetData>
  <phoneticPr fontId="3"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election activeCell="F13" sqref="F13"/>
    </sheetView>
  </sheetViews>
  <sheetFormatPr defaultColWidth="10.875" defaultRowHeight="26.25" x14ac:dyDescent="0.4"/>
  <cols>
    <col min="1" max="2" width="10.875" style="1"/>
    <col min="3" max="3" width="21.375" style="1" bestFit="1" customWidth="1"/>
    <col min="4" max="16384" width="10.875" style="1"/>
  </cols>
  <sheetData>
    <row r="3" spans="3:6" x14ac:dyDescent="0.4">
      <c r="C3" s="1" t="s">
        <v>5</v>
      </c>
      <c r="D3" s="1">
        <v>100</v>
      </c>
      <c r="E3" s="1">
        <v>200</v>
      </c>
      <c r="F3" s="1">
        <v>300</v>
      </c>
    </row>
    <row r="4" spans="3:6" x14ac:dyDescent="0.4">
      <c r="C4" s="1" t="s">
        <v>6</v>
      </c>
      <c r="D4" s="1">
        <v>5</v>
      </c>
      <c r="E4" s="1">
        <v>6</v>
      </c>
      <c r="F4" s="1">
        <v>7</v>
      </c>
    </row>
    <row r="5" spans="3:6" x14ac:dyDescent="0.4">
      <c r="C5" s="1" t="s">
        <v>7</v>
      </c>
      <c r="D5" s="7" t="s">
        <v>10</v>
      </c>
      <c r="E5" s="7" t="s">
        <v>8</v>
      </c>
      <c r="F5" s="7" t="s">
        <v>9</v>
      </c>
    </row>
    <row r="6" spans="3:6" x14ac:dyDescent="0.4">
      <c r="D6" s="7"/>
      <c r="E6" s="7"/>
      <c r="F6" s="7"/>
    </row>
    <row r="9" spans="3:6" x14ac:dyDescent="0.4">
      <c r="C9" s="1" t="s">
        <v>18</v>
      </c>
    </row>
    <row r="23" spans="2:2" x14ac:dyDescent="0.4">
      <c r="B23" s="9"/>
    </row>
    <row r="24" spans="2:2" x14ac:dyDescent="0.4">
      <c r="B24" s="9"/>
    </row>
  </sheetData>
  <phoneticPr fontId="3"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B3:P24"/>
  <sheetViews>
    <sheetView topLeftCell="B1" workbookViewId="0"/>
  </sheetViews>
  <sheetFormatPr defaultColWidth="10.875" defaultRowHeight="26.25" x14ac:dyDescent="0.4"/>
  <cols>
    <col min="1" max="2" width="10.875" style="1"/>
    <col min="3" max="3" width="21.375" style="1" bestFit="1" customWidth="1"/>
    <col min="4" max="14" width="10.875" style="1"/>
    <col min="15" max="15" width="27.375" style="1" bestFit="1" customWidth="1"/>
    <col min="16" max="16384" width="10.875" style="1"/>
  </cols>
  <sheetData>
    <row r="3" spans="3:16" x14ac:dyDescent="0.4">
      <c r="C3" s="1" t="s">
        <v>5</v>
      </c>
      <c r="D3" s="1">
        <v>100</v>
      </c>
      <c r="E3" s="1">
        <v>200</v>
      </c>
      <c r="F3" s="1">
        <v>300</v>
      </c>
    </row>
    <row r="4" spans="3:16" x14ac:dyDescent="0.4">
      <c r="C4" s="1" t="s">
        <v>6</v>
      </c>
      <c r="D4" s="1">
        <v>5</v>
      </c>
      <c r="E4" s="1">
        <v>6</v>
      </c>
      <c r="F4" s="1">
        <v>7</v>
      </c>
    </row>
    <row r="5" spans="3:16" x14ac:dyDescent="0.4">
      <c r="C5" s="1" t="s">
        <v>7</v>
      </c>
      <c r="D5" s="7" t="s">
        <v>10</v>
      </c>
      <c r="E5" s="7" t="s">
        <v>8</v>
      </c>
      <c r="F5" s="7" t="s">
        <v>9</v>
      </c>
    </row>
    <row r="6" spans="3:16" x14ac:dyDescent="0.4">
      <c r="D6" s="7"/>
      <c r="E6" s="7"/>
      <c r="F6" s="7"/>
    </row>
    <row r="9" spans="3:16" x14ac:dyDescent="0.4">
      <c r="C9" s="1" t="s">
        <v>18</v>
      </c>
    </row>
    <row r="11" spans="3:16" x14ac:dyDescent="0.4">
      <c r="O11" s="1" t="s">
        <v>98</v>
      </c>
    </row>
    <row r="12" spans="3:16" x14ac:dyDescent="0.4">
      <c r="O12" s="1" t="s">
        <v>99</v>
      </c>
      <c r="P12" s="1">
        <f>SUMPRODUCT(D3:F3,D4:F4)</f>
        <v>3800</v>
      </c>
    </row>
    <row r="13" spans="3:16" x14ac:dyDescent="0.4">
      <c r="O13" s="1" t="s">
        <v>100</v>
      </c>
      <c r="P13" s="1">
        <f>SUM(D3:F3)</f>
        <v>600</v>
      </c>
    </row>
    <row r="14" spans="3:16" x14ac:dyDescent="0.4">
      <c r="O14" s="1" t="s">
        <v>101</v>
      </c>
      <c r="P14" s="1">
        <f>P12/P13</f>
        <v>6.333333333333333</v>
      </c>
    </row>
    <row r="23" spans="2:2" x14ac:dyDescent="0.4">
      <c r="B23" s="9"/>
    </row>
    <row r="24" spans="2:2" x14ac:dyDescent="0.4">
      <c r="B24" s="9"/>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B2:O18"/>
  <sheetViews>
    <sheetView workbookViewId="0"/>
  </sheetViews>
  <sheetFormatPr defaultColWidth="10.875" defaultRowHeight="26.25" x14ac:dyDescent="0.4"/>
  <cols>
    <col min="1" max="16384" width="10.875" style="1"/>
  </cols>
  <sheetData>
    <row r="2" spans="2:15" x14ac:dyDescent="0.4">
      <c r="B2" s="1" t="s">
        <v>43</v>
      </c>
    </row>
    <row r="3" spans="2:15" x14ac:dyDescent="0.4">
      <c r="B3" s="1" t="s">
        <v>44</v>
      </c>
    </row>
    <row r="4" spans="2:15" x14ac:dyDescent="0.4">
      <c r="B4" s="1" t="s">
        <v>45</v>
      </c>
    </row>
    <row r="8" spans="2:15" x14ac:dyDescent="0.4">
      <c r="B8" s="1" t="s">
        <v>40</v>
      </c>
      <c r="D8" s="1" t="s">
        <v>42</v>
      </c>
      <c r="F8" s="1" t="s">
        <v>41</v>
      </c>
    </row>
    <row r="9" spans="2:15" x14ac:dyDescent="0.4">
      <c r="B9" s="5">
        <v>123</v>
      </c>
      <c r="D9" s="5">
        <v>10</v>
      </c>
      <c r="F9" s="5">
        <v>100</v>
      </c>
      <c r="G9" s="5">
        <v>200</v>
      </c>
      <c r="H9" s="5">
        <v>300</v>
      </c>
      <c r="I9" s="5">
        <v>400</v>
      </c>
      <c r="J9" s="5">
        <v>500</v>
      </c>
      <c r="K9" s="5">
        <v>600</v>
      </c>
      <c r="L9" s="5">
        <v>700</v>
      </c>
      <c r="M9" s="5">
        <v>800</v>
      </c>
      <c r="N9" s="5">
        <v>900</v>
      </c>
      <c r="O9" s="5">
        <v>1000</v>
      </c>
    </row>
    <row r="10" spans="2:15" x14ac:dyDescent="0.4">
      <c r="D10" s="5">
        <v>20</v>
      </c>
      <c r="F10" s="5">
        <v>200</v>
      </c>
      <c r="G10" s="5">
        <v>400</v>
      </c>
      <c r="H10" s="5">
        <v>600</v>
      </c>
      <c r="I10" s="5">
        <v>800</v>
      </c>
      <c r="J10" s="5">
        <v>1000</v>
      </c>
      <c r="K10" s="5">
        <v>1200</v>
      </c>
      <c r="L10" s="5">
        <v>1400</v>
      </c>
      <c r="M10" s="5">
        <v>1600</v>
      </c>
      <c r="N10" s="5">
        <v>1800</v>
      </c>
      <c r="O10" s="5">
        <v>2000</v>
      </c>
    </row>
    <row r="11" spans="2:15" x14ac:dyDescent="0.4">
      <c r="D11" s="5">
        <v>30</v>
      </c>
      <c r="F11" s="5">
        <v>300</v>
      </c>
      <c r="G11" s="5">
        <v>600</v>
      </c>
      <c r="H11" s="5">
        <v>900</v>
      </c>
      <c r="I11" s="5">
        <v>1200</v>
      </c>
      <c r="J11" s="5">
        <v>1500</v>
      </c>
      <c r="K11" s="5">
        <v>1800</v>
      </c>
      <c r="L11" s="5">
        <v>2100</v>
      </c>
      <c r="M11" s="5">
        <v>2400</v>
      </c>
      <c r="N11" s="5">
        <v>2700</v>
      </c>
      <c r="O11" s="5">
        <v>3000</v>
      </c>
    </row>
    <row r="12" spans="2:15" x14ac:dyDescent="0.4">
      <c r="D12" s="5">
        <v>40</v>
      </c>
      <c r="F12" s="5">
        <v>400</v>
      </c>
      <c r="G12" s="5">
        <v>800</v>
      </c>
      <c r="H12" s="5">
        <v>1200</v>
      </c>
      <c r="I12" s="5">
        <v>1600</v>
      </c>
      <c r="J12" s="5">
        <v>2000</v>
      </c>
      <c r="K12" s="5">
        <v>2400</v>
      </c>
      <c r="L12" s="5">
        <v>2800</v>
      </c>
      <c r="M12" s="5">
        <v>3200</v>
      </c>
      <c r="N12" s="5">
        <v>3600</v>
      </c>
      <c r="O12" s="5">
        <v>4000</v>
      </c>
    </row>
    <row r="13" spans="2:15" x14ac:dyDescent="0.4">
      <c r="D13" s="5">
        <v>50</v>
      </c>
      <c r="F13" s="5">
        <v>500</v>
      </c>
      <c r="G13" s="5">
        <v>1000</v>
      </c>
      <c r="H13" s="5">
        <v>1500</v>
      </c>
      <c r="I13" s="5">
        <v>2000</v>
      </c>
      <c r="J13" s="5">
        <v>2500</v>
      </c>
      <c r="K13" s="5">
        <v>3000</v>
      </c>
      <c r="L13" s="5">
        <v>3500</v>
      </c>
      <c r="M13" s="5">
        <v>4000</v>
      </c>
      <c r="N13" s="5">
        <v>4500</v>
      </c>
      <c r="O13" s="5">
        <v>5000</v>
      </c>
    </row>
    <row r="14" spans="2:15" x14ac:dyDescent="0.4">
      <c r="D14" s="5">
        <v>60</v>
      </c>
      <c r="F14" s="5">
        <v>600</v>
      </c>
      <c r="G14" s="5">
        <v>1200</v>
      </c>
      <c r="H14" s="5">
        <v>1800</v>
      </c>
      <c r="I14" s="5">
        <v>2400</v>
      </c>
      <c r="J14" s="5">
        <v>3000</v>
      </c>
      <c r="K14" s="5">
        <v>3600</v>
      </c>
      <c r="L14" s="5">
        <v>4200</v>
      </c>
      <c r="M14" s="5">
        <v>4800</v>
      </c>
      <c r="N14" s="5">
        <v>5400</v>
      </c>
      <c r="O14" s="5">
        <v>6000</v>
      </c>
    </row>
    <row r="15" spans="2:15" x14ac:dyDescent="0.4">
      <c r="D15" s="5">
        <v>70</v>
      </c>
      <c r="F15" s="5">
        <v>700</v>
      </c>
      <c r="G15" s="5">
        <v>1400</v>
      </c>
      <c r="H15" s="5">
        <v>2100</v>
      </c>
      <c r="I15" s="5">
        <v>2800</v>
      </c>
      <c r="J15" s="5">
        <v>3500</v>
      </c>
      <c r="K15" s="5">
        <v>4200</v>
      </c>
      <c r="L15" s="5">
        <v>4900</v>
      </c>
      <c r="M15" s="5">
        <v>5600</v>
      </c>
      <c r="N15" s="5">
        <v>6300</v>
      </c>
      <c r="O15" s="5">
        <v>7000</v>
      </c>
    </row>
    <row r="16" spans="2:15" x14ac:dyDescent="0.4">
      <c r="D16" s="5">
        <v>80</v>
      </c>
      <c r="F16" s="5">
        <v>800</v>
      </c>
      <c r="G16" s="5">
        <v>1600</v>
      </c>
      <c r="H16" s="5">
        <v>2400</v>
      </c>
      <c r="I16" s="5">
        <v>3200</v>
      </c>
      <c r="J16" s="5">
        <v>4000</v>
      </c>
      <c r="K16" s="5">
        <v>4800</v>
      </c>
      <c r="L16" s="5">
        <v>5600</v>
      </c>
      <c r="M16" s="5">
        <v>6400</v>
      </c>
      <c r="N16" s="5">
        <v>7200</v>
      </c>
      <c r="O16" s="5">
        <v>8000</v>
      </c>
    </row>
    <row r="17" spans="4:15" x14ac:dyDescent="0.4">
      <c r="D17" s="5">
        <v>90</v>
      </c>
      <c r="F17" s="5">
        <v>900</v>
      </c>
      <c r="G17" s="5">
        <v>1800</v>
      </c>
      <c r="H17" s="5">
        <v>2700</v>
      </c>
      <c r="I17" s="5">
        <v>3600</v>
      </c>
      <c r="J17" s="5">
        <v>4500</v>
      </c>
      <c r="K17" s="5">
        <v>5400</v>
      </c>
      <c r="L17" s="5">
        <v>6300</v>
      </c>
      <c r="M17" s="5">
        <v>7200</v>
      </c>
      <c r="N17" s="5">
        <v>8100</v>
      </c>
      <c r="O17" s="5">
        <v>9000</v>
      </c>
    </row>
    <row r="18" spans="4:15" x14ac:dyDescent="0.4">
      <c r="D18" s="5">
        <v>100</v>
      </c>
      <c r="F18" s="5">
        <v>1000</v>
      </c>
      <c r="G18" s="5">
        <v>2000</v>
      </c>
      <c r="H18" s="5">
        <v>3000</v>
      </c>
      <c r="I18" s="5">
        <v>4000</v>
      </c>
      <c r="J18" s="5">
        <v>5000</v>
      </c>
      <c r="K18" s="5">
        <v>6000</v>
      </c>
      <c r="L18" s="5">
        <v>7000</v>
      </c>
      <c r="M18" s="5">
        <v>8000</v>
      </c>
      <c r="N18" s="5">
        <v>9000</v>
      </c>
      <c r="O18" s="5">
        <v>10000</v>
      </c>
    </row>
  </sheetData>
  <pageMargins left="0.7" right="0.7" top="0.75" bottom="0.75" header="0.3" footer="0.3"/>
  <pageSetup orientation="portrait" horizontalDpi="0"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B5:S23"/>
  <sheetViews>
    <sheetView topLeftCell="A6" workbookViewId="0"/>
  </sheetViews>
  <sheetFormatPr defaultColWidth="10.875" defaultRowHeight="26.25" x14ac:dyDescent="0.4"/>
  <cols>
    <col min="1" max="2" width="10.875" style="1"/>
    <col min="3" max="3" width="12.375" style="7" bestFit="1" customWidth="1"/>
    <col min="4" max="16384" width="10.875" style="1"/>
  </cols>
  <sheetData>
    <row r="5" spans="2:19" x14ac:dyDescent="0.4">
      <c r="C5" s="1"/>
      <c r="D5" s="8"/>
    </row>
    <row r="7" spans="2:19" x14ac:dyDescent="0.4">
      <c r="B7" s="1">
        <v>1</v>
      </c>
      <c r="C7" s="7">
        <v>1</v>
      </c>
    </row>
    <row r="8" spans="2:19" x14ac:dyDescent="0.4">
      <c r="B8" s="1">
        <v>2</v>
      </c>
      <c r="C8" s="7">
        <v>2</v>
      </c>
      <c r="O8" s="17"/>
      <c r="P8" s="17"/>
      <c r="Q8" s="17"/>
      <c r="R8" s="17"/>
      <c r="S8" s="17"/>
    </row>
    <row r="9" spans="2:19" x14ac:dyDescent="0.4">
      <c r="B9" s="1">
        <v>3</v>
      </c>
      <c r="C9" s="7" t="s">
        <v>11</v>
      </c>
      <c r="O9" s="17"/>
      <c r="P9" s="17"/>
      <c r="Q9" s="17"/>
      <c r="R9" s="17"/>
      <c r="S9" s="17"/>
    </row>
    <row r="10" spans="2:19" x14ac:dyDescent="0.4">
      <c r="B10" s="1">
        <v>4</v>
      </c>
      <c r="C10" s="7">
        <v>4</v>
      </c>
      <c r="O10" s="17"/>
      <c r="P10" s="17"/>
      <c r="Q10" s="17"/>
      <c r="R10" s="17"/>
      <c r="S10" s="17"/>
    </row>
    <row r="11" spans="2:19" x14ac:dyDescent="0.4">
      <c r="B11" s="1">
        <v>5</v>
      </c>
      <c r="C11" s="7" t="s">
        <v>107</v>
      </c>
      <c r="O11" s="17"/>
      <c r="P11" s="17"/>
      <c r="Q11" s="17"/>
      <c r="R11" s="17"/>
      <c r="S11" s="17"/>
    </row>
    <row r="12" spans="2:19" x14ac:dyDescent="0.4">
      <c r="B12" s="1">
        <v>6</v>
      </c>
      <c r="C12" s="7" t="s">
        <v>11</v>
      </c>
    </row>
    <row r="13" spans="2:19" x14ac:dyDescent="0.4">
      <c r="B13" s="1">
        <v>7</v>
      </c>
      <c r="C13" s="7">
        <v>7</v>
      </c>
    </row>
    <row r="14" spans="2:19" x14ac:dyDescent="0.4">
      <c r="B14" s="1">
        <v>8</v>
      </c>
      <c r="C14" s="7">
        <v>8</v>
      </c>
    </row>
    <row r="15" spans="2:19" x14ac:dyDescent="0.4">
      <c r="B15" s="1">
        <v>9</v>
      </c>
      <c r="C15" s="7" t="s">
        <v>11</v>
      </c>
    </row>
    <row r="16" spans="2:19" x14ac:dyDescent="0.4">
      <c r="B16" s="1">
        <v>10</v>
      </c>
      <c r="C16" s="7" t="s">
        <v>107</v>
      </c>
    </row>
    <row r="17" spans="2:3" x14ac:dyDescent="0.4">
      <c r="B17" s="1">
        <v>11</v>
      </c>
      <c r="C17" s="7">
        <v>11</v>
      </c>
    </row>
    <row r="18" spans="2:3" x14ac:dyDescent="0.4">
      <c r="B18" s="1">
        <v>12</v>
      </c>
      <c r="C18" s="7" t="s">
        <v>11</v>
      </c>
    </row>
    <row r="19" spans="2:3" x14ac:dyDescent="0.4">
      <c r="B19" s="1">
        <v>13</v>
      </c>
      <c r="C19" s="7">
        <v>13</v>
      </c>
    </row>
    <row r="20" spans="2:3" x14ac:dyDescent="0.4">
      <c r="B20" s="1">
        <v>14</v>
      </c>
      <c r="C20" s="7">
        <v>14</v>
      </c>
    </row>
    <row r="21" spans="2:3" x14ac:dyDescent="0.4">
      <c r="B21" s="1">
        <v>15</v>
      </c>
      <c r="C21" s="7" t="s">
        <v>12</v>
      </c>
    </row>
    <row r="23" spans="2:3" x14ac:dyDescent="0.4">
      <c r="B23" s="9"/>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55F92-4DB6-E54A-8431-06FFA6885184}">
  <sheetPr codeName="Sheet9">
    <tabColor theme="0"/>
  </sheetPr>
  <dimension ref="A1:E26"/>
  <sheetViews>
    <sheetView workbookViewId="0"/>
  </sheetViews>
  <sheetFormatPr defaultColWidth="10.875" defaultRowHeight="26.25" x14ac:dyDescent="0.4"/>
  <cols>
    <col min="1" max="16384" width="10.875" style="1"/>
  </cols>
  <sheetData>
    <row r="1" spans="1:5" x14ac:dyDescent="0.4">
      <c r="A1" s="17"/>
      <c r="B1" s="17"/>
      <c r="C1" s="17"/>
      <c r="D1" s="17"/>
      <c r="E1" s="17"/>
    </row>
    <row r="2" spans="1:5" x14ac:dyDescent="0.4">
      <c r="A2" s="17"/>
      <c r="B2" s="17"/>
      <c r="C2" s="17"/>
      <c r="D2" s="17"/>
      <c r="E2" s="17"/>
    </row>
    <row r="3" spans="1:5" x14ac:dyDescent="0.4">
      <c r="A3" s="17"/>
      <c r="B3" s="17"/>
      <c r="C3" s="17"/>
      <c r="D3" s="17"/>
      <c r="E3" s="17"/>
    </row>
    <row r="4" spans="1:5" x14ac:dyDescent="0.4">
      <c r="A4" s="17"/>
      <c r="B4" s="17"/>
      <c r="C4" s="17"/>
      <c r="D4" s="17"/>
      <c r="E4" s="17"/>
    </row>
    <row r="8" spans="1:5" x14ac:dyDescent="0.4">
      <c r="A8" s="17"/>
      <c r="B8" s="17"/>
      <c r="C8" s="17"/>
      <c r="D8" s="17"/>
      <c r="E8" s="17"/>
    </row>
    <row r="9" spans="1:5" x14ac:dyDescent="0.4">
      <c r="A9" s="17"/>
      <c r="B9" s="17"/>
      <c r="C9" s="17"/>
      <c r="D9" s="17"/>
      <c r="E9" s="17"/>
    </row>
    <row r="10" spans="1:5" x14ac:dyDescent="0.4">
      <c r="A10" s="17"/>
      <c r="B10" s="17"/>
      <c r="C10" s="17"/>
      <c r="D10" s="17"/>
      <c r="E10" s="17"/>
    </row>
    <row r="11" spans="1:5" x14ac:dyDescent="0.4">
      <c r="A11" s="17"/>
      <c r="B11" s="17"/>
      <c r="C11" s="17"/>
      <c r="D11" s="17"/>
      <c r="E11" s="17"/>
    </row>
    <row r="16" spans="1:5" x14ac:dyDescent="0.4">
      <c r="A16" s="17"/>
      <c r="B16" s="17"/>
      <c r="C16" s="17"/>
      <c r="D16" s="17"/>
      <c r="E16" s="17"/>
    </row>
    <row r="17" spans="1:5" x14ac:dyDescent="0.4">
      <c r="A17" s="17"/>
      <c r="B17" s="17"/>
      <c r="C17" s="17"/>
      <c r="D17" s="17"/>
      <c r="E17" s="17"/>
    </row>
    <row r="18" spans="1:5" x14ac:dyDescent="0.4">
      <c r="A18" s="17"/>
      <c r="B18" s="17"/>
      <c r="C18" s="17"/>
      <c r="D18" s="17"/>
      <c r="E18" s="17"/>
    </row>
    <row r="19" spans="1:5" x14ac:dyDescent="0.4">
      <c r="A19" s="17"/>
      <c r="B19" s="17"/>
      <c r="C19" s="17"/>
      <c r="D19" s="17"/>
      <c r="E19" s="17"/>
    </row>
    <row r="23" spans="1:5" x14ac:dyDescent="0.4">
      <c r="A23" s="17"/>
      <c r="B23" s="17"/>
      <c r="C23" s="17"/>
      <c r="D23" s="17"/>
      <c r="E23" s="17"/>
    </row>
    <row r="24" spans="1:5" x14ac:dyDescent="0.4">
      <c r="A24" s="17"/>
      <c r="B24" s="17"/>
      <c r="C24" s="17"/>
      <c r="D24" s="17"/>
      <c r="E24" s="17"/>
    </row>
    <row r="25" spans="1:5" x14ac:dyDescent="0.4">
      <c r="A25" s="17"/>
      <c r="B25" s="17"/>
      <c r="C25" s="17"/>
      <c r="D25" s="17"/>
      <c r="E25" s="17"/>
    </row>
    <row r="26" spans="1:5" x14ac:dyDescent="0.4">
      <c r="A26" s="17"/>
      <c r="B26" s="17"/>
      <c r="C26" s="17"/>
      <c r="D26" s="17"/>
      <c r="E26"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Sheet1</vt:lpstr>
      <vt:lpstr>Today</vt:lpstr>
      <vt:lpstr>Office1_Filter</vt:lpstr>
      <vt:lpstr>Office_Pivot</vt:lpstr>
      <vt:lpstr>Computer</vt:lpstr>
      <vt:lpstr>AWS</vt:lpstr>
      <vt:lpstr>Prework4NextClass</vt:lpstr>
      <vt:lpstr>InClassProjects</vt:lpstr>
      <vt:lpstr>qOffice1_Filter</vt:lpstr>
      <vt:lpstr>qOffice_Pivot</vt:lpstr>
      <vt:lpstr>qFunctions</vt:lpstr>
      <vt:lpstr>qArrays1</vt:lpstr>
      <vt:lpstr>qArrays2</vt:lpstr>
      <vt:lpstr>qDataTypes1</vt:lpstr>
      <vt:lpstr>qDataTypes2</vt:lpstr>
      <vt:lpstr>qNameRanges1</vt:lpstr>
      <vt:lpstr>qConditioning</vt:lpstr>
      <vt:lpstr>BLANK</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Christopher Lawson</cp:lastModifiedBy>
  <dcterms:created xsi:type="dcterms:W3CDTF">2018-10-10T15:42:26Z</dcterms:created>
  <dcterms:modified xsi:type="dcterms:W3CDTF">2024-09-16T02:00:20Z</dcterms:modified>
</cp:coreProperties>
</file>